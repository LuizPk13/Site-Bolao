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bb12114c6b0f1e52/Área de Trabalho/DevCLub/Bolão da Copa/"/>
    </mc:Choice>
  </mc:AlternateContent>
  <xr:revisionPtr revIDLastSave="50" documentId="11_1779ECE5F0668BCEE37CA307231D4B10616FAB35" xr6:coauthVersionLast="47" xr6:coauthVersionMax="47" xr10:uidLastSave="{3C2C6FB1-CEB9-4FEC-A32C-ACCD4BC7BFD9}"/>
  <bookViews>
    <workbookView xWindow="2304" yWindow="2304" windowWidth="17280" windowHeight="8880" activeTab="1" xr2:uid="{00000000-000D-0000-FFFF-FFFF00000000}"/>
  </bookViews>
  <sheets>
    <sheet name="Palpite" sheetId="1" r:id="rId1"/>
    <sheet name="Bolão da Cop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2" i="2" l="1" a="1"/>
  <c r="B132" i="2" s="1"/>
  <c r="E132" i="2" s="1"/>
  <c r="B131" i="2" a="1"/>
  <c r="B131" i="2" s="1"/>
  <c r="E131" i="2" s="1"/>
  <c r="B130" i="2" a="1"/>
  <c r="B130" i="2" s="1"/>
  <c r="E130" i="2" s="1"/>
  <c r="B129" i="2" a="1"/>
  <c r="B129" i="2" s="1"/>
  <c r="E129" i="2" s="1"/>
  <c r="B128" i="2" a="1"/>
  <c r="B128" i="2" s="1"/>
  <c r="E128" i="2" s="1"/>
  <c r="B127" i="2" a="1"/>
  <c r="B127" i="2" s="1"/>
  <c r="E127" i="2" s="1"/>
  <c r="B126" i="2" a="1"/>
  <c r="B126" i="2" s="1"/>
  <c r="E126" i="2" s="1"/>
  <c r="B125" i="2" a="1"/>
  <c r="B125" i="2" s="1"/>
  <c r="E125" i="2" s="1"/>
  <c r="B124" i="2" a="1"/>
  <c r="B124" i="2" s="1"/>
  <c r="E124" i="2" s="1"/>
  <c r="B123" i="2" a="1"/>
  <c r="B123" i="2" s="1"/>
  <c r="E123" i="2" s="1"/>
  <c r="B122" i="2" a="1"/>
  <c r="B122" i="2" s="1"/>
  <c r="E122" i="2" s="1"/>
  <c r="B121" i="2" a="1"/>
  <c r="B121" i="2" s="1"/>
  <c r="E121" i="2" s="1"/>
  <c r="B120" i="2" a="1"/>
  <c r="B120" i="2" s="1"/>
  <c r="E120" i="2" s="1"/>
  <c r="B119" i="2" a="1"/>
  <c r="B119" i="2" s="1"/>
  <c r="E119" i="2" s="1"/>
  <c r="B118" i="2" a="1"/>
  <c r="B118" i="2" s="1"/>
  <c r="E118" i="2" s="1"/>
  <c r="B117" i="2" a="1"/>
  <c r="B117" i="2" s="1"/>
  <c r="E117" i="2" s="1"/>
  <c r="BR99" i="2"/>
  <c r="BM99" i="2"/>
  <c r="BH99" i="2"/>
  <c r="AD99" i="2" s="1"/>
  <c r="BC99" i="2"/>
  <c r="Y99" i="2" s="1"/>
  <c r="AX99" i="2"/>
  <c r="T99" i="2" s="1"/>
  <c r="AS99" i="2"/>
  <c r="AN99" i="2"/>
  <c r="AI99" i="2"/>
  <c r="O99" i="2"/>
  <c r="J99" i="2"/>
  <c r="Q97" i="2"/>
  <c r="EY96" i="2"/>
  <c r="ET96" i="2"/>
  <c r="EO96" i="2"/>
  <c r="EJ96" i="2"/>
  <c r="EE96" i="2"/>
  <c r="DZ96" i="2"/>
  <c r="DU96" i="2"/>
  <c r="DP96" i="2"/>
  <c r="DK96" i="2"/>
  <c r="DF96" i="2"/>
  <c r="DA96" i="2"/>
  <c r="CV96" i="2"/>
  <c r="CQ96" i="2"/>
  <c r="CL96" i="2"/>
  <c r="CG96" i="2"/>
  <c r="CB96" i="2"/>
  <c r="BW96" i="2"/>
  <c r="BR96" i="2"/>
  <c r="BM96" i="2"/>
  <c r="BH96" i="2"/>
  <c r="BC96" i="2"/>
  <c r="AX96" i="2"/>
  <c r="AS96" i="2"/>
  <c r="AN96" i="2"/>
  <c r="AI96" i="2"/>
  <c r="AD96" i="2"/>
  <c r="Y96" i="2"/>
  <c r="T96" i="2"/>
  <c r="O96" i="2"/>
  <c r="J96" i="2"/>
  <c r="EY95" i="2"/>
  <c r="ET95" i="2"/>
  <c r="EO95" i="2"/>
  <c r="EJ95" i="2"/>
  <c r="EE95" i="2"/>
  <c r="DZ95" i="2"/>
  <c r="DU95" i="2"/>
  <c r="DP95" i="2"/>
  <c r="DK95" i="2"/>
  <c r="DF95" i="2"/>
  <c r="DA95" i="2"/>
  <c r="CV95" i="2"/>
  <c r="CQ95" i="2"/>
  <c r="CL95" i="2"/>
  <c r="CG95" i="2"/>
  <c r="CB95" i="2"/>
  <c r="BW95" i="2"/>
  <c r="BR95" i="2"/>
  <c r="BM95" i="2"/>
  <c r="BH95" i="2"/>
  <c r="BC95" i="2"/>
  <c r="AX95" i="2"/>
  <c r="AS95" i="2"/>
  <c r="AN95" i="2"/>
  <c r="AI95" i="2"/>
  <c r="AD95" i="2"/>
  <c r="Y95" i="2"/>
  <c r="T95" i="2"/>
  <c r="O95" i="2"/>
  <c r="J95" i="2"/>
  <c r="EY94" i="2"/>
  <c r="ET94" i="2"/>
  <c r="EO94" i="2"/>
  <c r="EJ94" i="2"/>
  <c r="EG97" i="2" s="1"/>
  <c r="EE94" i="2"/>
  <c r="DZ94" i="2"/>
  <c r="DU94" i="2"/>
  <c r="DP94" i="2"/>
  <c r="DK94" i="2"/>
  <c r="DF94" i="2"/>
  <c r="DA94" i="2"/>
  <c r="CV94" i="2"/>
  <c r="CS97" i="2" s="1"/>
  <c r="CQ94" i="2"/>
  <c r="CL94" i="2"/>
  <c r="CG94" i="2"/>
  <c r="CB94" i="2"/>
  <c r="BW94" i="2"/>
  <c r="BR94" i="2"/>
  <c r="BM94" i="2"/>
  <c r="BH94" i="2"/>
  <c r="BC94" i="2"/>
  <c r="AX94" i="2"/>
  <c r="AS94" i="2"/>
  <c r="AN94" i="2"/>
  <c r="AI94" i="2"/>
  <c r="AD94" i="2"/>
  <c r="Y94" i="2"/>
  <c r="T94" i="2"/>
  <c r="O94" i="2"/>
  <c r="J94" i="2"/>
  <c r="EY93" i="2"/>
  <c r="ET93" i="2"/>
  <c r="EO93" i="2"/>
  <c r="EJ93" i="2"/>
  <c r="EE93" i="2"/>
  <c r="DZ93" i="2"/>
  <c r="DW97" i="2" s="1"/>
  <c r="DU93" i="2"/>
  <c r="DP93" i="2"/>
  <c r="DK93" i="2"/>
  <c r="DF93" i="2"/>
  <c r="DA93" i="2"/>
  <c r="CV93" i="2"/>
  <c r="CQ93" i="2"/>
  <c r="CL93" i="2"/>
  <c r="CG93" i="2"/>
  <c r="CB93" i="2"/>
  <c r="BW93" i="2"/>
  <c r="BR93" i="2"/>
  <c r="BM93" i="2"/>
  <c r="BH93" i="2"/>
  <c r="BC93" i="2"/>
  <c r="AX93" i="2"/>
  <c r="AU97" i="2" s="1"/>
  <c r="AS93" i="2"/>
  <c r="AN93" i="2"/>
  <c r="AI93" i="2"/>
  <c r="AD93" i="2"/>
  <c r="Y93" i="2"/>
  <c r="T93" i="2"/>
  <c r="O93" i="2"/>
  <c r="J93" i="2"/>
  <c r="G97" i="2" s="1"/>
  <c r="EY92" i="2"/>
  <c r="ET92" i="2"/>
  <c r="EO92" i="2"/>
  <c r="EJ92" i="2"/>
  <c r="EE92" i="2"/>
  <c r="DZ92" i="2"/>
  <c r="DU92" i="2"/>
  <c r="DP92" i="2"/>
  <c r="DM97" i="2" s="1"/>
  <c r="DK92" i="2"/>
  <c r="DF92" i="2"/>
  <c r="DA92" i="2"/>
  <c r="CV92" i="2"/>
  <c r="CQ92" i="2"/>
  <c r="CL92" i="2"/>
  <c r="CG92" i="2"/>
  <c r="CB92" i="2"/>
  <c r="BY97" i="2" s="1"/>
  <c r="BW92" i="2"/>
  <c r="BR92" i="2"/>
  <c r="BM92" i="2"/>
  <c r="BH92" i="2"/>
  <c r="BC92" i="2"/>
  <c r="AX92" i="2"/>
  <c r="AS92" i="2"/>
  <c r="AN92" i="2"/>
  <c r="AK97" i="2" s="1"/>
  <c r="AI92" i="2"/>
  <c r="AD92" i="2"/>
  <c r="Y92" i="2"/>
  <c r="T92" i="2"/>
  <c r="O92" i="2"/>
  <c r="J92" i="2"/>
  <c r="EY91" i="2"/>
  <c r="ET91" i="2"/>
  <c r="EQ97" i="2" s="1"/>
  <c r="EO91" i="2"/>
  <c r="EL97" i="2" s="1"/>
  <c r="EJ91" i="2"/>
  <c r="EE91" i="2"/>
  <c r="DZ91" i="2"/>
  <c r="DU91" i="2"/>
  <c r="DP91" i="2"/>
  <c r="DK91" i="2"/>
  <c r="DF91" i="2"/>
  <c r="DC97" i="2" s="1"/>
  <c r="DA91" i="2"/>
  <c r="CX97" i="2" s="1"/>
  <c r="CV91" i="2"/>
  <c r="CQ91" i="2"/>
  <c r="CN97" i="2" s="1"/>
  <c r="CL91" i="2"/>
  <c r="CI97" i="2" s="1"/>
  <c r="CG91" i="2"/>
  <c r="CD97" i="2" s="1"/>
  <c r="CB91" i="2"/>
  <c r="BW91" i="2"/>
  <c r="BR91" i="2"/>
  <c r="BO97" i="2" s="1"/>
  <c r="BM91" i="2"/>
  <c r="BJ97" i="2" s="1"/>
  <c r="BH91" i="2"/>
  <c r="BC91" i="2"/>
  <c r="AZ97" i="2" s="1"/>
  <c r="AX91" i="2"/>
  <c r="AS91" i="2"/>
  <c r="AP97" i="2" s="1"/>
  <c r="AN91" i="2"/>
  <c r="AI91" i="2"/>
  <c r="AD91" i="2"/>
  <c r="AA97" i="2" s="1"/>
  <c r="Y91" i="2"/>
  <c r="V97" i="2" s="1"/>
  <c r="T91" i="2"/>
  <c r="O91" i="2"/>
  <c r="L97" i="2" s="1"/>
  <c r="J91" i="2"/>
  <c r="EY88" i="2"/>
  <c r="ET88" i="2"/>
  <c r="EO88" i="2"/>
  <c r="EJ88" i="2"/>
  <c r="EE88" i="2"/>
  <c r="DZ88" i="2"/>
  <c r="DU88" i="2"/>
  <c r="DP88" i="2"/>
  <c r="DK88" i="2"/>
  <c r="DF88" i="2"/>
  <c r="DA88" i="2"/>
  <c r="CV88" i="2"/>
  <c r="CQ88" i="2"/>
  <c r="CL88" i="2"/>
  <c r="CG88" i="2"/>
  <c r="CB88" i="2"/>
  <c r="BW88" i="2"/>
  <c r="BR88" i="2"/>
  <c r="BM88" i="2"/>
  <c r="BH88" i="2"/>
  <c r="BC88" i="2"/>
  <c r="AX88" i="2"/>
  <c r="AS88" i="2"/>
  <c r="AN88" i="2"/>
  <c r="AI88" i="2"/>
  <c r="AD88" i="2"/>
  <c r="Y88" i="2"/>
  <c r="T88" i="2"/>
  <c r="O88" i="2"/>
  <c r="J88" i="2"/>
  <c r="EY87" i="2"/>
  <c r="ET87" i="2"/>
  <c r="EO87" i="2"/>
  <c r="EJ87" i="2"/>
  <c r="EE87" i="2"/>
  <c r="DZ87" i="2"/>
  <c r="DU87" i="2"/>
  <c r="DP87" i="2"/>
  <c r="DK87" i="2"/>
  <c r="DF87" i="2"/>
  <c r="DA87" i="2"/>
  <c r="CV87" i="2"/>
  <c r="CQ87" i="2"/>
  <c r="CL87" i="2"/>
  <c r="CG87" i="2"/>
  <c r="CB87" i="2"/>
  <c r="BW87" i="2"/>
  <c r="BR87" i="2"/>
  <c r="BM87" i="2"/>
  <c r="BH87" i="2"/>
  <c r="BC87" i="2"/>
  <c r="AX87" i="2"/>
  <c r="AS87" i="2"/>
  <c r="AN87" i="2"/>
  <c r="AI87" i="2"/>
  <c r="AD87" i="2"/>
  <c r="Y87" i="2"/>
  <c r="T87" i="2"/>
  <c r="O87" i="2"/>
  <c r="J87" i="2"/>
  <c r="EY86" i="2"/>
  <c r="EV89" i="2" s="1"/>
  <c r="ET86" i="2"/>
  <c r="EO86" i="2"/>
  <c r="EJ86" i="2"/>
  <c r="EE86" i="2"/>
  <c r="DZ86" i="2"/>
  <c r="DW89" i="2" s="1"/>
  <c r="DU86" i="2"/>
  <c r="DP86" i="2"/>
  <c r="DK86" i="2"/>
  <c r="DF86" i="2"/>
  <c r="DA86" i="2"/>
  <c r="CV86" i="2"/>
  <c r="CQ86" i="2"/>
  <c r="CL86" i="2"/>
  <c r="CI89" i="2" s="1"/>
  <c r="CG86" i="2"/>
  <c r="CB86" i="2"/>
  <c r="BW86" i="2"/>
  <c r="BR86" i="2"/>
  <c r="BM86" i="2"/>
  <c r="BH86" i="2"/>
  <c r="BC86" i="2"/>
  <c r="AX86" i="2"/>
  <c r="AU89" i="2" s="1"/>
  <c r="AS86" i="2"/>
  <c r="AN86" i="2"/>
  <c r="AI86" i="2"/>
  <c r="AD86" i="2"/>
  <c r="Y86" i="2"/>
  <c r="T86" i="2"/>
  <c r="O86" i="2"/>
  <c r="J86" i="2"/>
  <c r="EY85" i="2"/>
  <c r="ET85" i="2"/>
  <c r="EO85" i="2"/>
  <c r="EJ85" i="2"/>
  <c r="EE85" i="2"/>
  <c r="DZ85" i="2"/>
  <c r="DU85" i="2"/>
  <c r="DP85" i="2"/>
  <c r="DM89" i="2" s="1"/>
  <c r="DK85" i="2"/>
  <c r="DF85" i="2"/>
  <c r="DA85" i="2"/>
  <c r="CX89" i="2" s="1"/>
  <c r="CV85" i="2"/>
  <c r="CQ85" i="2"/>
  <c r="CL85" i="2"/>
  <c r="CG85" i="2"/>
  <c r="CB85" i="2"/>
  <c r="BW85" i="2"/>
  <c r="BR85" i="2"/>
  <c r="BM85" i="2"/>
  <c r="BH85" i="2"/>
  <c r="BC85" i="2"/>
  <c r="AX85" i="2"/>
  <c r="AS85" i="2"/>
  <c r="AN85" i="2"/>
  <c r="AK89" i="2" s="1"/>
  <c r="AI85" i="2"/>
  <c r="AD85" i="2"/>
  <c r="Y85" i="2"/>
  <c r="T85" i="2"/>
  <c r="O85" i="2"/>
  <c r="J85" i="2"/>
  <c r="G89" i="2" s="1"/>
  <c r="EY84" i="2"/>
  <c r="ET84" i="2"/>
  <c r="EO84" i="2"/>
  <c r="EJ84" i="2"/>
  <c r="EE84" i="2"/>
  <c r="DZ84" i="2"/>
  <c r="DU84" i="2"/>
  <c r="DP84" i="2"/>
  <c r="DK84" i="2"/>
  <c r="DF84" i="2"/>
  <c r="DA84" i="2"/>
  <c r="CV84" i="2"/>
  <c r="CQ84" i="2"/>
  <c r="CL84" i="2"/>
  <c r="CG84" i="2"/>
  <c r="CB84" i="2"/>
  <c r="BY89" i="2" s="1"/>
  <c r="BW84" i="2"/>
  <c r="BR84" i="2"/>
  <c r="BM84" i="2"/>
  <c r="BH84" i="2"/>
  <c r="BC84" i="2"/>
  <c r="AX84" i="2"/>
  <c r="AS84" i="2"/>
  <c r="AN84" i="2"/>
  <c r="AI84" i="2"/>
  <c r="AD84" i="2"/>
  <c r="Y84" i="2"/>
  <c r="V89" i="2" s="1"/>
  <c r="T84" i="2"/>
  <c r="O84" i="2"/>
  <c r="J84" i="2"/>
  <c r="EY83" i="2"/>
  <c r="ET83" i="2"/>
  <c r="EO83" i="2"/>
  <c r="EJ83" i="2"/>
  <c r="EG89" i="2" s="1"/>
  <c r="EE83" i="2"/>
  <c r="EB89" i="2" s="1"/>
  <c r="DZ83" i="2"/>
  <c r="DU83" i="2"/>
  <c r="DR89" i="2" s="1"/>
  <c r="DP83" i="2"/>
  <c r="DK83" i="2"/>
  <c r="DF83" i="2"/>
  <c r="DA83" i="2"/>
  <c r="CV83" i="2"/>
  <c r="CS89" i="2" s="1"/>
  <c r="CQ83" i="2"/>
  <c r="CL83" i="2"/>
  <c r="CG83" i="2"/>
  <c r="CD89" i="2" s="1"/>
  <c r="CB83" i="2"/>
  <c r="BW83" i="2"/>
  <c r="BT89" i="2" s="1"/>
  <c r="BR83" i="2"/>
  <c r="BM83" i="2"/>
  <c r="BH83" i="2"/>
  <c r="BE89" i="2" s="1"/>
  <c r="BC83" i="2"/>
  <c r="AX83" i="2"/>
  <c r="AS83" i="2"/>
  <c r="AP89" i="2" s="1"/>
  <c r="AN83" i="2"/>
  <c r="AI83" i="2"/>
  <c r="AD83" i="2"/>
  <c r="Y83" i="2"/>
  <c r="T83" i="2"/>
  <c r="Q89" i="2" s="1"/>
  <c r="O83" i="2"/>
  <c r="L89" i="2" s="1"/>
  <c r="J83" i="2"/>
  <c r="EY80" i="2"/>
  <c r="ET80" i="2"/>
  <c r="EO80" i="2"/>
  <c r="EJ80" i="2"/>
  <c r="EE80" i="2"/>
  <c r="DZ80" i="2"/>
  <c r="DU80" i="2"/>
  <c r="DP80" i="2"/>
  <c r="DK80" i="2"/>
  <c r="DF80" i="2"/>
  <c r="DA80" i="2"/>
  <c r="CV80" i="2"/>
  <c r="CQ80" i="2"/>
  <c r="CL80" i="2"/>
  <c r="CG80" i="2"/>
  <c r="CB80" i="2"/>
  <c r="BW80" i="2"/>
  <c r="BR80" i="2"/>
  <c r="BM80" i="2"/>
  <c r="BH80" i="2"/>
  <c r="BC80" i="2"/>
  <c r="AX80" i="2"/>
  <c r="AS80" i="2"/>
  <c r="AN80" i="2"/>
  <c r="AI80" i="2"/>
  <c r="AD80" i="2"/>
  <c r="Y80" i="2"/>
  <c r="T80" i="2"/>
  <c r="O80" i="2"/>
  <c r="J80" i="2"/>
  <c r="EY79" i="2"/>
  <c r="ET79" i="2"/>
  <c r="EO79" i="2"/>
  <c r="EJ79" i="2"/>
  <c r="EE79" i="2"/>
  <c r="DZ79" i="2"/>
  <c r="DU79" i="2"/>
  <c r="DP79" i="2"/>
  <c r="DK79" i="2"/>
  <c r="DF79" i="2"/>
  <c r="DA79" i="2"/>
  <c r="CV79" i="2"/>
  <c r="CQ79" i="2"/>
  <c r="CL79" i="2"/>
  <c r="CG79" i="2"/>
  <c r="CB79" i="2"/>
  <c r="BW79" i="2"/>
  <c r="BR79" i="2"/>
  <c r="BM79" i="2"/>
  <c r="BH79" i="2"/>
  <c r="BC79" i="2"/>
  <c r="AX79" i="2"/>
  <c r="AS79" i="2"/>
  <c r="AN79" i="2"/>
  <c r="AI79" i="2"/>
  <c r="AD79" i="2"/>
  <c r="Y79" i="2"/>
  <c r="T79" i="2"/>
  <c r="O79" i="2"/>
  <c r="J79" i="2"/>
  <c r="EY78" i="2"/>
  <c r="ET78" i="2"/>
  <c r="EO78" i="2"/>
  <c r="EJ78" i="2"/>
  <c r="EE78" i="2"/>
  <c r="DZ78" i="2"/>
  <c r="DU78" i="2"/>
  <c r="DR81" i="2" s="1"/>
  <c r="DP78" i="2"/>
  <c r="DK78" i="2"/>
  <c r="DF78" i="2"/>
  <c r="DA78" i="2"/>
  <c r="CV78" i="2"/>
  <c r="CQ78" i="2"/>
  <c r="CL78" i="2"/>
  <c r="CG78" i="2"/>
  <c r="CD81" i="2" s="1"/>
  <c r="CB78" i="2"/>
  <c r="BW78" i="2"/>
  <c r="BR78" i="2"/>
  <c r="BM78" i="2"/>
  <c r="BH78" i="2"/>
  <c r="BC78" i="2"/>
  <c r="AX78" i="2"/>
  <c r="AS78" i="2"/>
  <c r="AP81" i="2" s="1"/>
  <c r="AN78" i="2"/>
  <c r="AI78" i="2"/>
  <c r="AD78" i="2"/>
  <c r="Y78" i="2"/>
  <c r="T78" i="2"/>
  <c r="O78" i="2"/>
  <c r="J78" i="2"/>
  <c r="EY77" i="2"/>
  <c r="EV81" i="2" s="1"/>
  <c r="ET77" i="2"/>
  <c r="EO77" i="2"/>
  <c r="EJ77" i="2"/>
  <c r="EE77" i="2"/>
  <c r="DZ77" i="2"/>
  <c r="DU77" i="2"/>
  <c r="DP77" i="2"/>
  <c r="DK77" i="2"/>
  <c r="DF77" i="2"/>
  <c r="DA77" i="2"/>
  <c r="CV77" i="2"/>
  <c r="CQ77" i="2"/>
  <c r="CL77" i="2"/>
  <c r="CG77" i="2"/>
  <c r="CB77" i="2"/>
  <c r="BW77" i="2"/>
  <c r="BT81" i="2" s="1"/>
  <c r="BR77" i="2"/>
  <c r="BM77" i="2"/>
  <c r="BH77" i="2"/>
  <c r="BC77" i="2"/>
  <c r="AX77" i="2"/>
  <c r="AS77" i="2"/>
  <c r="AN77" i="2"/>
  <c r="AI77" i="2"/>
  <c r="AF81" i="2" s="1"/>
  <c r="AD77" i="2"/>
  <c r="Y77" i="2"/>
  <c r="T77" i="2"/>
  <c r="O77" i="2"/>
  <c r="J77" i="2"/>
  <c r="EY76" i="2"/>
  <c r="ET76" i="2"/>
  <c r="EO76" i="2"/>
  <c r="EL81" i="2" s="1"/>
  <c r="EJ76" i="2"/>
  <c r="EE76" i="2"/>
  <c r="DZ76" i="2"/>
  <c r="DU76" i="2"/>
  <c r="DP76" i="2"/>
  <c r="DK76" i="2"/>
  <c r="DF76" i="2"/>
  <c r="DA76" i="2"/>
  <c r="CV76" i="2"/>
  <c r="CS81" i="2" s="1"/>
  <c r="CQ76" i="2"/>
  <c r="CL76" i="2"/>
  <c r="CG76" i="2"/>
  <c r="CB76" i="2"/>
  <c r="BW76" i="2"/>
  <c r="BR76" i="2"/>
  <c r="BM76" i="2"/>
  <c r="BJ81" i="2" s="1"/>
  <c r="BH76" i="2"/>
  <c r="BC76" i="2"/>
  <c r="AX76" i="2"/>
  <c r="AS76" i="2"/>
  <c r="AN76" i="2"/>
  <c r="AI76" i="2"/>
  <c r="AD76" i="2"/>
  <c r="Y76" i="2"/>
  <c r="T76" i="2"/>
  <c r="Q81" i="2" s="1"/>
  <c r="O76" i="2"/>
  <c r="J76" i="2"/>
  <c r="EY75" i="2"/>
  <c r="ET75" i="2"/>
  <c r="EQ81" i="2" s="1"/>
  <c r="EO75" i="2"/>
  <c r="EJ75" i="2"/>
  <c r="EE75" i="2"/>
  <c r="EB81" i="2" s="1"/>
  <c r="DZ75" i="2"/>
  <c r="DW81" i="2" s="1"/>
  <c r="DU75" i="2"/>
  <c r="DP75" i="2"/>
  <c r="DK75" i="2"/>
  <c r="DF75" i="2"/>
  <c r="DC81" i="2" s="1"/>
  <c r="DA75" i="2"/>
  <c r="CV75" i="2"/>
  <c r="CQ75" i="2"/>
  <c r="CN81" i="2" s="1"/>
  <c r="CL75" i="2"/>
  <c r="CG75" i="2"/>
  <c r="CB75" i="2"/>
  <c r="BY81" i="2" s="1"/>
  <c r="BW75" i="2"/>
  <c r="BR75" i="2"/>
  <c r="BO81" i="2" s="1"/>
  <c r="BM75" i="2"/>
  <c r="BH75" i="2"/>
  <c r="BC75" i="2"/>
  <c r="AZ81" i="2" s="1"/>
  <c r="AX75" i="2"/>
  <c r="AU81" i="2" s="1"/>
  <c r="AS75" i="2"/>
  <c r="AN75" i="2"/>
  <c r="AK81" i="2" s="1"/>
  <c r="AI75" i="2"/>
  <c r="AD75" i="2"/>
  <c r="AA81" i="2" s="1"/>
  <c r="Y75" i="2"/>
  <c r="T75" i="2"/>
  <c r="O75" i="2"/>
  <c r="L81" i="2" s="1"/>
  <c r="J75" i="2"/>
  <c r="G81" i="2" s="1"/>
  <c r="EY72" i="2"/>
  <c r="ET72" i="2"/>
  <c r="EO72" i="2"/>
  <c r="EJ72" i="2"/>
  <c r="EE72" i="2"/>
  <c r="DZ72" i="2"/>
  <c r="DU72" i="2"/>
  <c r="DP72" i="2"/>
  <c r="DK72" i="2"/>
  <c r="DF72" i="2"/>
  <c r="DA72" i="2"/>
  <c r="CV72" i="2"/>
  <c r="CQ72" i="2"/>
  <c r="CL72" i="2"/>
  <c r="CG72" i="2"/>
  <c r="CB72" i="2"/>
  <c r="BW72" i="2"/>
  <c r="BR72" i="2"/>
  <c r="BM72" i="2"/>
  <c r="BH72" i="2"/>
  <c r="BC72" i="2"/>
  <c r="AX72" i="2"/>
  <c r="AS72" i="2"/>
  <c r="AN72" i="2"/>
  <c r="AI72" i="2"/>
  <c r="AD72" i="2"/>
  <c r="Y72" i="2"/>
  <c r="T72" i="2"/>
  <c r="O72" i="2"/>
  <c r="J72" i="2"/>
  <c r="EY71" i="2"/>
  <c r="ET71" i="2"/>
  <c r="EO71" i="2"/>
  <c r="EJ71" i="2"/>
  <c r="EE71" i="2"/>
  <c r="DZ71" i="2"/>
  <c r="DU71" i="2"/>
  <c r="DP71" i="2"/>
  <c r="DK71" i="2"/>
  <c r="DF71" i="2"/>
  <c r="DA71" i="2"/>
  <c r="CV71" i="2"/>
  <c r="CQ71" i="2"/>
  <c r="CL71" i="2"/>
  <c r="CG71" i="2"/>
  <c r="CB71" i="2"/>
  <c r="BW71" i="2"/>
  <c r="BR71" i="2"/>
  <c r="BM71" i="2"/>
  <c r="BH71" i="2"/>
  <c r="BC71" i="2"/>
  <c r="AX71" i="2"/>
  <c r="AS71" i="2"/>
  <c r="AN71" i="2"/>
  <c r="AI71" i="2"/>
  <c r="AD71" i="2"/>
  <c r="Y71" i="2"/>
  <c r="T71" i="2"/>
  <c r="O71" i="2"/>
  <c r="J71" i="2"/>
  <c r="EY70" i="2"/>
  <c r="ET70" i="2"/>
  <c r="EO70" i="2"/>
  <c r="EJ70" i="2"/>
  <c r="EE70" i="2"/>
  <c r="DZ70" i="2"/>
  <c r="DU70" i="2"/>
  <c r="DP70" i="2"/>
  <c r="DK70" i="2"/>
  <c r="DH73" i="2" s="1"/>
  <c r="DF70" i="2"/>
  <c r="DA70" i="2"/>
  <c r="CV70" i="2"/>
  <c r="CQ70" i="2"/>
  <c r="CL70" i="2"/>
  <c r="CG70" i="2"/>
  <c r="CB70" i="2"/>
  <c r="BW70" i="2"/>
  <c r="BT73" i="2" s="1"/>
  <c r="BR70" i="2"/>
  <c r="BM70" i="2"/>
  <c r="BH70" i="2"/>
  <c r="BC70" i="2"/>
  <c r="AX70" i="2"/>
  <c r="AS70" i="2"/>
  <c r="AN70" i="2"/>
  <c r="AI70" i="2"/>
  <c r="AD70" i="2"/>
  <c r="Y70" i="2"/>
  <c r="T70" i="2"/>
  <c r="O70" i="2"/>
  <c r="J70" i="2"/>
  <c r="EY69" i="2"/>
  <c r="ET69" i="2"/>
  <c r="EO69" i="2"/>
  <c r="EJ69" i="2"/>
  <c r="EE69" i="2"/>
  <c r="DZ69" i="2"/>
  <c r="DU69" i="2"/>
  <c r="DP69" i="2"/>
  <c r="DK69" i="2"/>
  <c r="DF69" i="2"/>
  <c r="DA69" i="2"/>
  <c r="CX73" i="2" s="1"/>
  <c r="CV69" i="2"/>
  <c r="CQ69" i="2"/>
  <c r="CL69" i="2"/>
  <c r="CG69" i="2"/>
  <c r="CB69" i="2"/>
  <c r="BW69" i="2"/>
  <c r="BR69" i="2"/>
  <c r="BM69" i="2"/>
  <c r="BH69" i="2"/>
  <c r="BC69" i="2"/>
  <c r="AX69" i="2"/>
  <c r="AS69" i="2"/>
  <c r="AN69" i="2"/>
  <c r="AI69" i="2"/>
  <c r="AD69" i="2"/>
  <c r="Y69" i="2"/>
  <c r="V73" i="2" s="1"/>
  <c r="T69" i="2"/>
  <c r="O69" i="2"/>
  <c r="J69" i="2"/>
  <c r="EY68" i="2"/>
  <c r="ET68" i="2"/>
  <c r="EQ73" i="2" s="1"/>
  <c r="EO68" i="2"/>
  <c r="EJ68" i="2"/>
  <c r="EE68" i="2"/>
  <c r="DZ68" i="2"/>
  <c r="DU68" i="2"/>
  <c r="DP68" i="2"/>
  <c r="DK68" i="2"/>
  <c r="DF68" i="2"/>
  <c r="DC73" i="2" s="1"/>
  <c r="DA68" i="2"/>
  <c r="CV68" i="2"/>
  <c r="CQ68" i="2"/>
  <c r="CN73" i="2" s="1"/>
  <c r="CL68" i="2"/>
  <c r="CG68" i="2"/>
  <c r="CB68" i="2"/>
  <c r="BW68" i="2"/>
  <c r="BR68" i="2"/>
  <c r="BO73" i="2" s="1"/>
  <c r="BM68" i="2"/>
  <c r="BH68" i="2"/>
  <c r="BC68" i="2"/>
  <c r="AX68" i="2"/>
  <c r="AS68" i="2"/>
  <c r="AN68" i="2"/>
  <c r="AI68" i="2"/>
  <c r="AD68" i="2"/>
  <c r="AA73" i="2" s="1"/>
  <c r="Y68" i="2"/>
  <c r="T68" i="2"/>
  <c r="O68" i="2"/>
  <c r="L73" i="2" s="1"/>
  <c r="J68" i="2"/>
  <c r="EY67" i="2"/>
  <c r="ET67" i="2"/>
  <c r="EO67" i="2"/>
  <c r="EJ67" i="2"/>
  <c r="EG73" i="2" s="1"/>
  <c r="EE67" i="2"/>
  <c r="DZ67" i="2"/>
  <c r="DU67" i="2"/>
  <c r="DR73" i="2" s="1"/>
  <c r="DP67" i="2"/>
  <c r="DM73" i="2" s="1"/>
  <c r="DK67" i="2"/>
  <c r="DF67" i="2"/>
  <c r="DA67" i="2"/>
  <c r="CV67" i="2"/>
  <c r="CS73" i="2" s="1"/>
  <c r="CQ67" i="2"/>
  <c r="CL67" i="2"/>
  <c r="CG67" i="2"/>
  <c r="CD73" i="2" s="1"/>
  <c r="CB67" i="2"/>
  <c r="BW67" i="2"/>
  <c r="BR67" i="2"/>
  <c r="BM67" i="2"/>
  <c r="BH67" i="2"/>
  <c r="BE73" i="2" s="1"/>
  <c r="BC67" i="2"/>
  <c r="AX67" i="2"/>
  <c r="AS67" i="2"/>
  <c r="AP73" i="2" s="1"/>
  <c r="AN67" i="2"/>
  <c r="AI67" i="2"/>
  <c r="AD67" i="2"/>
  <c r="Y67" i="2"/>
  <c r="T67" i="2"/>
  <c r="Q73" i="2" s="1"/>
  <c r="O67" i="2"/>
  <c r="J67" i="2"/>
  <c r="EV65" i="2"/>
  <c r="EB65" i="2"/>
  <c r="DR65" i="2"/>
  <c r="CX65" i="2"/>
  <c r="BJ65" i="2"/>
  <c r="AP65" i="2"/>
  <c r="AF65" i="2"/>
  <c r="EY64" i="2"/>
  <c r="ET64" i="2"/>
  <c r="EO64" i="2"/>
  <c r="EJ64" i="2"/>
  <c r="EE64" i="2"/>
  <c r="DZ64" i="2"/>
  <c r="DU64" i="2"/>
  <c r="DP64" i="2"/>
  <c r="DK64" i="2"/>
  <c r="DF64" i="2"/>
  <c r="DA64" i="2"/>
  <c r="CV64" i="2"/>
  <c r="CQ64" i="2"/>
  <c r="CL64" i="2"/>
  <c r="CG64" i="2"/>
  <c r="CB64" i="2"/>
  <c r="BW64" i="2"/>
  <c r="BR64" i="2"/>
  <c r="BM64" i="2"/>
  <c r="BH64" i="2"/>
  <c r="BC64" i="2"/>
  <c r="AX64" i="2"/>
  <c r="AS64" i="2"/>
  <c r="AN64" i="2"/>
  <c r="AI64" i="2"/>
  <c r="AD64" i="2"/>
  <c r="Y64" i="2"/>
  <c r="T64" i="2"/>
  <c r="O64" i="2"/>
  <c r="J64" i="2"/>
  <c r="EY63" i="2"/>
  <c r="ET63" i="2"/>
  <c r="EO63" i="2"/>
  <c r="EJ63" i="2"/>
  <c r="EE63" i="2"/>
  <c r="DZ63" i="2"/>
  <c r="DU63" i="2"/>
  <c r="DP63" i="2"/>
  <c r="DK63" i="2"/>
  <c r="DF63" i="2"/>
  <c r="DA63" i="2"/>
  <c r="CV63" i="2"/>
  <c r="CQ63" i="2"/>
  <c r="CL63" i="2"/>
  <c r="CG63" i="2"/>
  <c r="CB63" i="2"/>
  <c r="BW63" i="2"/>
  <c r="BR63" i="2"/>
  <c r="BM63" i="2"/>
  <c r="BH63" i="2"/>
  <c r="BC63" i="2"/>
  <c r="AX63" i="2"/>
  <c r="AS63" i="2"/>
  <c r="AN63" i="2"/>
  <c r="AI63" i="2"/>
  <c r="AD63" i="2"/>
  <c r="Y63" i="2"/>
  <c r="T63" i="2"/>
  <c r="O63" i="2"/>
  <c r="J63" i="2"/>
  <c r="EY62" i="2"/>
  <c r="ET62" i="2"/>
  <c r="EO62" i="2"/>
  <c r="EJ62" i="2"/>
  <c r="EE62" i="2"/>
  <c r="DZ62" i="2"/>
  <c r="DU62" i="2"/>
  <c r="DP62" i="2"/>
  <c r="DK62" i="2"/>
  <c r="DF62" i="2"/>
  <c r="DA62" i="2"/>
  <c r="CV62" i="2"/>
  <c r="CQ62" i="2"/>
  <c r="CL62" i="2"/>
  <c r="CG62" i="2"/>
  <c r="CB62" i="2"/>
  <c r="BW62" i="2"/>
  <c r="BR62" i="2"/>
  <c r="BM62" i="2"/>
  <c r="BH62" i="2"/>
  <c r="BC62" i="2"/>
  <c r="AX62" i="2"/>
  <c r="AS62" i="2"/>
  <c r="AN62" i="2"/>
  <c r="AI62" i="2"/>
  <c r="AD62" i="2"/>
  <c r="Y62" i="2"/>
  <c r="V65" i="2" s="1"/>
  <c r="T62" i="2"/>
  <c r="O62" i="2"/>
  <c r="J62" i="2"/>
  <c r="EY61" i="2"/>
  <c r="ET61" i="2"/>
  <c r="EO61" i="2"/>
  <c r="EJ61" i="2"/>
  <c r="EE61" i="2"/>
  <c r="DZ61" i="2"/>
  <c r="DU61" i="2"/>
  <c r="DP61" i="2"/>
  <c r="DK61" i="2"/>
  <c r="DF61" i="2"/>
  <c r="DA61" i="2"/>
  <c r="CV61" i="2"/>
  <c r="CQ61" i="2"/>
  <c r="CL61" i="2"/>
  <c r="CI65" i="2" s="1"/>
  <c r="CG61" i="2"/>
  <c r="CB61" i="2"/>
  <c r="BW61" i="2"/>
  <c r="BR61" i="2"/>
  <c r="BM61" i="2"/>
  <c r="BH61" i="2"/>
  <c r="BC61" i="2"/>
  <c r="AZ65" i="2" s="1"/>
  <c r="AX61" i="2"/>
  <c r="AS61" i="2"/>
  <c r="AN61" i="2"/>
  <c r="AI61" i="2"/>
  <c r="AD61" i="2"/>
  <c r="Y61" i="2"/>
  <c r="T61" i="2"/>
  <c r="O61" i="2"/>
  <c r="L65" i="2" s="1"/>
  <c r="J61" i="2"/>
  <c r="G65" i="2" s="1"/>
  <c r="EY60" i="2"/>
  <c r="ET60" i="2"/>
  <c r="EO60" i="2"/>
  <c r="EJ60" i="2"/>
  <c r="EE60" i="2"/>
  <c r="DZ60" i="2"/>
  <c r="DU60" i="2"/>
  <c r="DP60" i="2"/>
  <c r="DM65" i="2" s="1"/>
  <c r="DK60" i="2"/>
  <c r="DF60" i="2"/>
  <c r="DA60" i="2"/>
  <c r="CV60" i="2"/>
  <c r="CQ60" i="2"/>
  <c r="CN65" i="2" s="1"/>
  <c r="CL60" i="2"/>
  <c r="CG60" i="2"/>
  <c r="CB60" i="2"/>
  <c r="BY65" i="2" s="1"/>
  <c r="BW60" i="2"/>
  <c r="BR60" i="2"/>
  <c r="BM60" i="2"/>
  <c r="BH60" i="2"/>
  <c r="BC60" i="2"/>
  <c r="AX60" i="2"/>
  <c r="AS60" i="2"/>
  <c r="AN60" i="2"/>
  <c r="AK65" i="2" s="1"/>
  <c r="AI60" i="2"/>
  <c r="AD60" i="2"/>
  <c r="Y60" i="2"/>
  <c r="T60" i="2"/>
  <c r="O60" i="2"/>
  <c r="J60" i="2"/>
  <c r="EY59" i="2"/>
  <c r="ET59" i="2"/>
  <c r="EQ65" i="2" s="1"/>
  <c r="EO59" i="2"/>
  <c r="EL65" i="2" s="1"/>
  <c r="EJ59" i="2"/>
  <c r="EE59" i="2"/>
  <c r="DZ59" i="2"/>
  <c r="DU59" i="2"/>
  <c r="DP59" i="2"/>
  <c r="DK59" i="2"/>
  <c r="DH65" i="2" s="1"/>
  <c r="DF59" i="2"/>
  <c r="DC65" i="2" s="1"/>
  <c r="DA59" i="2"/>
  <c r="CV59" i="2"/>
  <c r="CQ59" i="2"/>
  <c r="CL59" i="2"/>
  <c r="CG59" i="2"/>
  <c r="CD65" i="2" s="1"/>
  <c r="CB59" i="2"/>
  <c r="BW59" i="2"/>
  <c r="BT65" i="2" s="1"/>
  <c r="BR59" i="2"/>
  <c r="BO65" i="2" s="1"/>
  <c r="BM59" i="2"/>
  <c r="BH59" i="2"/>
  <c r="BC59" i="2"/>
  <c r="AX59" i="2"/>
  <c r="AS59" i="2"/>
  <c r="AN59" i="2"/>
  <c r="AI59" i="2"/>
  <c r="AD59" i="2"/>
  <c r="AA65" i="2" s="1"/>
  <c r="Y59" i="2"/>
  <c r="T59" i="2"/>
  <c r="O59" i="2"/>
  <c r="J59" i="2"/>
  <c r="Q57" i="2"/>
  <c r="EY56" i="2"/>
  <c r="ET56" i="2"/>
  <c r="EO56" i="2"/>
  <c r="EJ56" i="2"/>
  <c r="EE56" i="2"/>
  <c r="DZ56" i="2"/>
  <c r="DU56" i="2"/>
  <c r="DP56" i="2"/>
  <c r="DK56" i="2"/>
  <c r="DF56" i="2"/>
  <c r="DA56" i="2"/>
  <c r="CV56" i="2"/>
  <c r="CQ56" i="2"/>
  <c r="CL56" i="2"/>
  <c r="CG56" i="2"/>
  <c r="CB56" i="2"/>
  <c r="BW56" i="2"/>
  <c r="BR56" i="2"/>
  <c r="BM56" i="2"/>
  <c r="BH56" i="2"/>
  <c r="BC56" i="2"/>
  <c r="AX56" i="2"/>
  <c r="AS56" i="2"/>
  <c r="AN56" i="2"/>
  <c r="AI56" i="2"/>
  <c r="AD56" i="2"/>
  <c r="Y56" i="2"/>
  <c r="T56" i="2"/>
  <c r="O56" i="2"/>
  <c r="J56" i="2"/>
  <c r="EY55" i="2"/>
  <c r="ET55" i="2"/>
  <c r="EO55" i="2"/>
  <c r="EJ55" i="2"/>
  <c r="EE55" i="2"/>
  <c r="DZ55" i="2"/>
  <c r="DU55" i="2"/>
  <c r="DP55" i="2"/>
  <c r="DK55" i="2"/>
  <c r="DF55" i="2"/>
  <c r="DA55" i="2"/>
  <c r="CV55" i="2"/>
  <c r="CQ55" i="2"/>
  <c r="CL55" i="2"/>
  <c r="CG55" i="2"/>
  <c r="CB55" i="2"/>
  <c r="BW55" i="2"/>
  <c r="BR55" i="2"/>
  <c r="BM55" i="2"/>
  <c r="BH55" i="2"/>
  <c r="BC55" i="2"/>
  <c r="AX55" i="2"/>
  <c r="AS55" i="2"/>
  <c r="AN55" i="2"/>
  <c r="AI55" i="2"/>
  <c r="AD55" i="2"/>
  <c r="Y55" i="2"/>
  <c r="T55" i="2"/>
  <c r="O55" i="2"/>
  <c r="J55" i="2"/>
  <c r="EY54" i="2"/>
  <c r="ET54" i="2"/>
  <c r="EO54" i="2"/>
  <c r="EJ54" i="2"/>
  <c r="EE54" i="2"/>
  <c r="EB57" i="2" s="1"/>
  <c r="DZ54" i="2"/>
  <c r="DU54" i="2"/>
  <c r="DP54" i="2"/>
  <c r="DK54" i="2"/>
  <c r="DF54" i="2"/>
  <c r="DA54" i="2"/>
  <c r="CV54" i="2"/>
  <c r="CQ54" i="2"/>
  <c r="CN57" i="2" s="1"/>
  <c r="CL54" i="2"/>
  <c r="CG54" i="2"/>
  <c r="CB54" i="2"/>
  <c r="BW54" i="2"/>
  <c r="BR54" i="2"/>
  <c r="BM54" i="2"/>
  <c r="BH54" i="2"/>
  <c r="BC54" i="2"/>
  <c r="AX54" i="2"/>
  <c r="AS54" i="2"/>
  <c r="AN54" i="2"/>
  <c r="AI54" i="2"/>
  <c r="AD54" i="2"/>
  <c r="Y54" i="2"/>
  <c r="T54" i="2"/>
  <c r="O54" i="2"/>
  <c r="J54" i="2"/>
  <c r="EY53" i="2"/>
  <c r="ET53" i="2"/>
  <c r="EO53" i="2"/>
  <c r="EJ53" i="2"/>
  <c r="EG57" i="2" s="1"/>
  <c r="EE53" i="2"/>
  <c r="DZ53" i="2"/>
  <c r="DU53" i="2"/>
  <c r="DR57" i="2" s="1"/>
  <c r="DP53" i="2"/>
  <c r="DK53" i="2"/>
  <c r="DF53" i="2"/>
  <c r="DA53" i="2"/>
  <c r="CV53" i="2"/>
  <c r="CQ53" i="2"/>
  <c r="CL53" i="2"/>
  <c r="CG53" i="2"/>
  <c r="CB53" i="2"/>
  <c r="BW53" i="2"/>
  <c r="BR53" i="2"/>
  <c r="BM53" i="2"/>
  <c r="BH53" i="2"/>
  <c r="BC53" i="2"/>
  <c r="AX53" i="2"/>
  <c r="AS53" i="2"/>
  <c r="AP57" i="2" s="1"/>
  <c r="AN53" i="2"/>
  <c r="AI53" i="2"/>
  <c r="AD53" i="2"/>
  <c r="Y53" i="2"/>
  <c r="T53" i="2"/>
  <c r="O53" i="2"/>
  <c r="J53" i="2"/>
  <c r="EY52" i="2"/>
  <c r="ET52" i="2"/>
  <c r="EO52" i="2"/>
  <c r="EJ52" i="2"/>
  <c r="EE52" i="2"/>
  <c r="DZ52" i="2"/>
  <c r="DW57" i="2" s="1"/>
  <c r="DU52" i="2"/>
  <c r="DP52" i="2"/>
  <c r="DK52" i="2"/>
  <c r="DH57" i="2" s="1"/>
  <c r="DF52" i="2"/>
  <c r="DA52" i="2"/>
  <c r="CV52" i="2"/>
  <c r="CQ52" i="2"/>
  <c r="CL52" i="2"/>
  <c r="CI57" i="2" s="1"/>
  <c r="CG52" i="2"/>
  <c r="CB52" i="2"/>
  <c r="BW52" i="2"/>
  <c r="BR52" i="2"/>
  <c r="BM52" i="2"/>
  <c r="BH52" i="2"/>
  <c r="BC52" i="2"/>
  <c r="AX52" i="2"/>
  <c r="AU57" i="2" s="1"/>
  <c r="AS52" i="2"/>
  <c r="AN52" i="2"/>
  <c r="AI52" i="2"/>
  <c r="AF57" i="2" s="1"/>
  <c r="AD52" i="2"/>
  <c r="Y52" i="2"/>
  <c r="T52" i="2"/>
  <c r="O52" i="2"/>
  <c r="J52" i="2"/>
  <c r="G57" i="2" s="1"/>
  <c r="EY51" i="2"/>
  <c r="ET51" i="2"/>
  <c r="EO51" i="2"/>
  <c r="EL57" i="2" s="1"/>
  <c r="EJ51" i="2"/>
  <c r="EE51" i="2"/>
  <c r="DZ51" i="2"/>
  <c r="DU51" i="2"/>
  <c r="DP51" i="2"/>
  <c r="DM57" i="2" s="1"/>
  <c r="DK51" i="2"/>
  <c r="DF51" i="2"/>
  <c r="DA51" i="2"/>
  <c r="CX57" i="2" s="1"/>
  <c r="CV51" i="2"/>
  <c r="CQ51" i="2"/>
  <c r="CL51" i="2"/>
  <c r="CG51" i="2"/>
  <c r="CB51" i="2"/>
  <c r="BY57" i="2" s="1"/>
  <c r="BW51" i="2"/>
  <c r="BR51" i="2"/>
  <c r="BM51" i="2"/>
  <c r="BJ57" i="2" s="1"/>
  <c r="BH51" i="2"/>
  <c r="BC51" i="2"/>
  <c r="AX51" i="2"/>
  <c r="AS51" i="2"/>
  <c r="AN51" i="2"/>
  <c r="AK57" i="2" s="1"/>
  <c r="AI51" i="2"/>
  <c r="AD51" i="2"/>
  <c r="Y51" i="2"/>
  <c r="V57" i="2" s="1"/>
  <c r="T51" i="2"/>
  <c r="O51" i="2"/>
  <c r="J51" i="2"/>
  <c r="EQ49" i="2"/>
  <c r="EG49" i="2"/>
  <c r="DW49" i="2"/>
  <c r="CI49" i="2"/>
  <c r="BO49" i="2"/>
  <c r="BE49" i="2"/>
  <c r="AU49" i="2"/>
  <c r="AF49" i="2"/>
  <c r="EY48" i="2"/>
  <c r="ET48" i="2"/>
  <c r="EO48" i="2"/>
  <c r="EJ48" i="2"/>
  <c r="EE48" i="2"/>
  <c r="DZ48" i="2"/>
  <c r="DU48" i="2"/>
  <c r="DP48" i="2"/>
  <c r="DK48" i="2"/>
  <c r="DF48" i="2"/>
  <c r="DA48" i="2"/>
  <c r="CV48" i="2"/>
  <c r="CQ48" i="2"/>
  <c r="CL48" i="2"/>
  <c r="CG48" i="2"/>
  <c r="CB48" i="2"/>
  <c r="BW48" i="2"/>
  <c r="BR48" i="2"/>
  <c r="BM48" i="2"/>
  <c r="BH48" i="2"/>
  <c r="BC48" i="2"/>
  <c r="AX48" i="2"/>
  <c r="AS48" i="2"/>
  <c r="AN48" i="2"/>
  <c r="AI48" i="2"/>
  <c r="AD48" i="2"/>
  <c r="Y48" i="2"/>
  <c r="T48" i="2"/>
  <c r="O48" i="2"/>
  <c r="J48" i="2"/>
  <c r="EY47" i="2"/>
  <c r="ET47" i="2"/>
  <c r="EO47" i="2"/>
  <c r="EJ47" i="2"/>
  <c r="EE47" i="2"/>
  <c r="DZ47" i="2"/>
  <c r="DU47" i="2"/>
  <c r="DP47" i="2"/>
  <c r="DK47" i="2"/>
  <c r="DF47" i="2"/>
  <c r="DA47" i="2"/>
  <c r="CV47" i="2"/>
  <c r="CQ47" i="2"/>
  <c r="CL47" i="2"/>
  <c r="CG47" i="2"/>
  <c r="CB47" i="2"/>
  <c r="BW47" i="2"/>
  <c r="BR47" i="2"/>
  <c r="BM47" i="2"/>
  <c r="BH47" i="2"/>
  <c r="BC47" i="2"/>
  <c r="AX47" i="2"/>
  <c r="AS47" i="2"/>
  <c r="AN47" i="2"/>
  <c r="AI47" i="2"/>
  <c r="AD47" i="2"/>
  <c r="Y47" i="2"/>
  <c r="T47" i="2"/>
  <c r="O47" i="2"/>
  <c r="J47" i="2"/>
  <c r="EY46" i="2"/>
  <c r="ET46" i="2"/>
  <c r="EO46" i="2"/>
  <c r="EJ46" i="2"/>
  <c r="EE46" i="2"/>
  <c r="DZ46" i="2"/>
  <c r="DU46" i="2"/>
  <c r="DP46" i="2"/>
  <c r="DK46" i="2"/>
  <c r="DH49" i="2" s="1"/>
  <c r="DF46" i="2"/>
  <c r="DA46" i="2"/>
  <c r="CV46" i="2"/>
  <c r="CS49" i="2" s="1"/>
  <c r="CQ46" i="2"/>
  <c r="CL46" i="2"/>
  <c r="CG46" i="2"/>
  <c r="CB46" i="2"/>
  <c r="BW46" i="2"/>
  <c r="BR46" i="2"/>
  <c r="BM46" i="2"/>
  <c r="BH46" i="2"/>
  <c r="BC46" i="2"/>
  <c r="AX46" i="2"/>
  <c r="AS46" i="2"/>
  <c r="AN46" i="2"/>
  <c r="AI46" i="2"/>
  <c r="AD46" i="2"/>
  <c r="Y46" i="2"/>
  <c r="T46" i="2"/>
  <c r="O46" i="2"/>
  <c r="J46" i="2"/>
  <c r="EY45" i="2"/>
  <c r="ET45" i="2"/>
  <c r="EO45" i="2"/>
  <c r="EJ45" i="2"/>
  <c r="EE45" i="2"/>
  <c r="DZ45" i="2"/>
  <c r="DU45" i="2"/>
  <c r="DP45" i="2"/>
  <c r="DK45" i="2"/>
  <c r="DF45" i="2"/>
  <c r="DA45" i="2"/>
  <c r="CV45" i="2"/>
  <c r="CQ45" i="2"/>
  <c r="CL45" i="2"/>
  <c r="CG45" i="2"/>
  <c r="CB45" i="2"/>
  <c r="BW45" i="2"/>
  <c r="BR45" i="2"/>
  <c r="BM45" i="2"/>
  <c r="BH45" i="2"/>
  <c r="BC45" i="2"/>
  <c r="AX45" i="2"/>
  <c r="AS45" i="2"/>
  <c r="AN45" i="2"/>
  <c r="AI45" i="2"/>
  <c r="AD45" i="2"/>
  <c r="Y45" i="2"/>
  <c r="T45" i="2"/>
  <c r="O45" i="2"/>
  <c r="J45" i="2"/>
  <c r="G49" i="2" s="1"/>
  <c r="EY44" i="2"/>
  <c r="ET44" i="2"/>
  <c r="EO44" i="2"/>
  <c r="EJ44" i="2"/>
  <c r="EE44" i="2"/>
  <c r="EB49" i="2" s="1"/>
  <c r="DZ44" i="2"/>
  <c r="DU44" i="2"/>
  <c r="DP44" i="2"/>
  <c r="DK44" i="2"/>
  <c r="DF44" i="2"/>
  <c r="DA44" i="2"/>
  <c r="CX49" i="2" s="1"/>
  <c r="CV44" i="2"/>
  <c r="CQ44" i="2"/>
  <c r="CL44" i="2"/>
  <c r="CG44" i="2"/>
  <c r="CB44" i="2"/>
  <c r="BW44" i="2"/>
  <c r="BR44" i="2"/>
  <c r="BM44" i="2"/>
  <c r="BH44" i="2"/>
  <c r="BC44" i="2"/>
  <c r="AX44" i="2"/>
  <c r="AS44" i="2"/>
  <c r="AN44" i="2"/>
  <c r="AI44" i="2"/>
  <c r="AD44" i="2"/>
  <c r="Y44" i="2"/>
  <c r="V49" i="2" s="1"/>
  <c r="T44" i="2"/>
  <c r="Q49" i="2" s="1"/>
  <c r="O44" i="2"/>
  <c r="J44" i="2"/>
  <c r="EY43" i="2"/>
  <c r="ET43" i="2"/>
  <c r="EO43" i="2"/>
  <c r="EJ43" i="2"/>
  <c r="EE43" i="2"/>
  <c r="DZ43" i="2"/>
  <c r="DU43" i="2"/>
  <c r="DR49" i="2" s="1"/>
  <c r="DP43" i="2"/>
  <c r="DK43" i="2"/>
  <c r="DF43" i="2"/>
  <c r="DC49" i="2" s="1"/>
  <c r="DA43" i="2"/>
  <c r="CV43" i="2"/>
  <c r="CQ43" i="2"/>
  <c r="CL43" i="2"/>
  <c r="CG43" i="2"/>
  <c r="CD49" i="2" s="1"/>
  <c r="CB43" i="2"/>
  <c r="BW43" i="2"/>
  <c r="BR43" i="2"/>
  <c r="BM43" i="2"/>
  <c r="BH43" i="2"/>
  <c r="BC43" i="2"/>
  <c r="AX43" i="2"/>
  <c r="AS43" i="2"/>
  <c r="AP49" i="2" s="1"/>
  <c r="AN43" i="2"/>
  <c r="AI43" i="2"/>
  <c r="AD43" i="2"/>
  <c r="AA49" i="2" s="1"/>
  <c r="Y43" i="2"/>
  <c r="T43" i="2"/>
  <c r="O43" i="2"/>
  <c r="L49" i="2" s="1"/>
  <c r="J43" i="2"/>
  <c r="EY40" i="2"/>
  <c r="ET40" i="2"/>
  <c r="EO40" i="2"/>
  <c r="EJ40" i="2"/>
  <c r="EE40" i="2"/>
  <c r="DZ40" i="2"/>
  <c r="DU40" i="2"/>
  <c r="DP40" i="2"/>
  <c r="DK40" i="2"/>
  <c r="DF40" i="2"/>
  <c r="DA40" i="2"/>
  <c r="CV40" i="2"/>
  <c r="CQ40" i="2"/>
  <c r="CL40" i="2"/>
  <c r="CG40" i="2"/>
  <c r="CB40" i="2"/>
  <c r="BW40" i="2"/>
  <c r="BR40" i="2"/>
  <c r="BM40" i="2"/>
  <c r="BH40" i="2"/>
  <c r="BC40" i="2"/>
  <c r="AX40" i="2"/>
  <c r="AS40" i="2"/>
  <c r="AN40" i="2"/>
  <c r="AI40" i="2"/>
  <c r="AD40" i="2"/>
  <c r="Y40" i="2"/>
  <c r="T40" i="2"/>
  <c r="O40" i="2"/>
  <c r="J40" i="2"/>
  <c r="EY39" i="2"/>
  <c r="ET39" i="2"/>
  <c r="EO39" i="2"/>
  <c r="EJ39" i="2"/>
  <c r="EE39" i="2"/>
  <c r="DZ39" i="2"/>
  <c r="DU39" i="2"/>
  <c r="DP39" i="2"/>
  <c r="DK39" i="2"/>
  <c r="DF39" i="2"/>
  <c r="DA39" i="2"/>
  <c r="CV39" i="2"/>
  <c r="CQ39" i="2"/>
  <c r="CL39" i="2"/>
  <c r="CG39" i="2"/>
  <c r="CB39" i="2"/>
  <c r="BW39" i="2"/>
  <c r="BR39" i="2"/>
  <c r="BM39" i="2"/>
  <c r="BH39" i="2"/>
  <c r="BC39" i="2"/>
  <c r="AX39" i="2"/>
  <c r="AS39" i="2"/>
  <c r="AN39" i="2"/>
  <c r="AI39" i="2"/>
  <c r="AD39" i="2"/>
  <c r="Y39" i="2"/>
  <c r="T39" i="2"/>
  <c r="O39" i="2"/>
  <c r="J39" i="2"/>
  <c r="EY38" i="2"/>
  <c r="ET38" i="2"/>
  <c r="EO38" i="2"/>
  <c r="EJ38" i="2"/>
  <c r="EE38" i="2"/>
  <c r="DZ38" i="2"/>
  <c r="DU38" i="2"/>
  <c r="DP38" i="2"/>
  <c r="DM41" i="2" s="1"/>
  <c r="DK38" i="2"/>
  <c r="DF38" i="2"/>
  <c r="DA38" i="2"/>
  <c r="CV38" i="2"/>
  <c r="CQ38" i="2"/>
  <c r="CL38" i="2"/>
  <c r="CG38" i="2"/>
  <c r="CB38" i="2"/>
  <c r="BY41" i="2" s="1"/>
  <c r="BW38" i="2"/>
  <c r="BR38" i="2"/>
  <c r="BM38" i="2"/>
  <c r="BH38" i="2"/>
  <c r="BC38" i="2"/>
  <c r="AX38" i="2"/>
  <c r="AS38" i="2"/>
  <c r="AN38" i="2"/>
  <c r="AK41" i="2" s="1"/>
  <c r="AI38" i="2"/>
  <c r="AD38" i="2"/>
  <c r="Y38" i="2"/>
  <c r="T38" i="2"/>
  <c r="O38" i="2"/>
  <c r="J38" i="2"/>
  <c r="EY37" i="2"/>
  <c r="ET37" i="2"/>
  <c r="EO37" i="2"/>
  <c r="EL41" i="2" s="1"/>
  <c r="EJ37" i="2"/>
  <c r="EE37" i="2"/>
  <c r="DZ37" i="2"/>
  <c r="DU37" i="2"/>
  <c r="DP37" i="2"/>
  <c r="DK37" i="2"/>
  <c r="DF37" i="2"/>
  <c r="DC41" i="2" s="1"/>
  <c r="DA37" i="2"/>
  <c r="CV37" i="2"/>
  <c r="CQ37" i="2"/>
  <c r="CL37" i="2"/>
  <c r="CG37" i="2"/>
  <c r="CB37" i="2"/>
  <c r="BW37" i="2"/>
  <c r="BR37" i="2"/>
  <c r="BM37" i="2"/>
  <c r="BJ41" i="2" s="1"/>
  <c r="BH37" i="2"/>
  <c r="BC37" i="2"/>
  <c r="AX37" i="2"/>
  <c r="AS37" i="2"/>
  <c r="AN37" i="2"/>
  <c r="AI37" i="2"/>
  <c r="AD37" i="2"/>
  <c r="AA41" i="2" s="1"/>
  <c r="Y37" i="2"/>
  <c r="T37" i="2"/>
  <c r="O37" i="2"/>
  <c r="J37" i="2"/>
  <c r="EY36" i="2"/>
  <c r="ET36" i="2"/>
  <c r="EO36" i="2"/>
  <c r="EJ36" i="2"/>
  <c r="EE36" i="2"/>
  <c r="DZ36" i="2"/>
  <c r="DU36" i="2"/>
  <c r="DP36" i="2"/>
  <c r="DK36" i="2"/>
  <c r="DF36" i="2"/>
  <c r="DA36" i="2"/>
  <c r="CV36" i="2"/>
  <c r="CS41" i="2" s="1"/>
  <c r="CQ36" i="2"/>
  <c r="CL36" i="2"/>
  <c r="CG36" i="2"/>
  <c r="CB36" i="2"/>
  <c r="BW36" i="2"/>
  <c r="BR36" i="2"/>
  <c r="BM36" i="2"/>
  <c r="BH36" i="2"/>
  <c r="BC36" i="2"/>
  <c r="AZ41" i="2" s="1"/>
  <c r="AX36" i="2"/>
  <c r="AS36" i="2"/>
  <c r="AN36" i="2"/>
  <c r="AI36" i="2"/>
  <c r="AD36" i="2"/>
  <c r="Y36" i="2"/>
  <c r="T36" i="2"/>
  <c r="Q41" i="2" s="1"/>
  <c r="O36" i="2"/>
  <c r="J36" i="2"/>
  <c r="EY35" i="2"/>
  <c r="EV41" i="2" s="1"/>
  <c r="ET35" i="2"/>
  <c r="EO35" i="2"/>
  <c r="EJ35" i="2"/>
  <c r="EE35" i="2"/>
  <c r="DZ35" i="2"/>
  <c r="DW41" i="2" s="1"/>
  <c r="DU35" i="2"/>
  <c r="DR41" i="2" s="1"/>
  <c r="DP35" i="2"/>
  <c r="DK35" i="2"/>
  <c r="DF35" i="2"/>
  <c r="DA35" i="2"/>
  <c r="CV35" i="2"/>
  <c r="CQ35" i="2"/>
  <c r="CL35" i="2"/>
  <c r="CI41" i="2" s="1"/>
  <c r="CG35" i="2"/>
  <c r="CD41" i="2" s="1"/>
  <c r="CB35" i="2"/>
  <c r="BW35" i="2"/>
  <c r="BT41" i="2" s="1"/>
  <c r="BR35" i="2"/>
  <c r="BM35" i="2"/>
  <c r="BH35" i="2"/>
  <c r="BE41" i="2" s="1"/>
  <c r="BC35" i="2"/>
  <c r="AX35" i="2"/>
  <c r="AU41" i="2" s="1"/>
  <c r="AS35" i="2"/>
  <c r="AP41" i="2" s="1"/>
  <c r="AN35" i="2"/>
  <c r="AI35" i="2"/>
  <c r="AF41" i="2" s="1"/>
  <c r="AD35" i="2"/>
  <c r="Y35" i="2"/>
  <c r="T35" i="2"/>
  <c r="O35" i="2"/>
  <c r="J35" i="2"/>
  <c r="G41" i="2" s="1"/>
  <c r="DW33" i="2"/>
  <c r="DM33" i="2"/>
  <c r="DC33" i="2"/>
  <c r="BO33" i="2"/>
  <c r="AU33" i="2"/>
  <c r="AK33" i="2"/>
  <c r="AA33" i="2"/>
  <c r="EY32" i="2"/>
  <c r="ET32" i="2"/>
  <c r="EO32" i="2"/>
  <c r="EJ32" i="2"/>
  <c r="EE32" i="2"/>
  <c r="DZ32" i="2"/>
  <c r="DU32" i="2"/>
  <c r="DP32" i="2"/>
  <c r="DK32" i="2"/>
  <c r="DF32" i="2"/>
  <c r="DA32" i="2"/>
  <c r="CV32" i="2"/>
  <c r="CQ32" i="2"/>
  <c r="CL32" i="2"/>
  <c r="CG32" i="2"/>
  <c r="CB32" i="2"/>
  <c r="BW32" i="2"/>
  <c r="BR32" i="2"/>
  <c r="BM32" i="2"/>
  <c r="BH32" i="2"/>
  <c r="BC32" i="2"/>
  <c r="AX32" i="2"/>
  <c r="AS32" i="2"/>
  <c r="AN32" i="2"/>
  <c r="AI32" i="2"/>
  <c r="AD32" i="2"/>
  <c r="Y32" i="2"/>
  <c r="T32" i="2"/>
  <c r="O32" i="2"/>
  <c r="J32" i="2"/>
  <c r="EY31" i="2"/>
  <c r="ET31" i="2"/>
  <c r="EO31" i="2"/>
  <c r="EJ31" i="2"/>
  <c r="EE31" i="2"/>
  <c r="DZ31" i="2"/>
  <c r="DU31" i="2"/>
  <c r="DP31" i="2"/>
  <c r="DK31" i="2"/>
  <c r="DF31" i="2"/>
  <c r="DA31" i="2"/>
  <c r="CV31" i="2"/>
  <c r="CQ31" i="2"/>
  <c r="CL31" i="2"/>
  <c r="CG31" i="2"/>
  <c r="CB31" i="2"/>
  <c r="BW31" i="2"/>
  <c r="BR31" i="2"/>
  <c r="BM31" i="2"/>
  <c r="BH31" i="2"/>
  <c r="BC31" i="2"/>
  <c r="AX31" i="2"/>
  <c r="AS31" i="2"/>
  <c r="AN31" i="2"/>
  <c r="AI31" i="2"/>
  <c r="AD31" i="2"/>
  <c r="Y31" i="2"/>
  <c r="T31" i="2"/>
  <c r="O31" i="2"/>
  <c r="J31" i="2"/>
  <c r="EY30" i="2"/>
  <c r="ET30" i="2"/>
  <c r="EO30" i="2"/>
  <c r="EJ30" i="2"/>
  <c r="EE30" i="2"/>
  <c r="DZ30" i="2"/>
  <c r="DU30" i="2"/>
  <c r="DP30" i="2"/>
  <c r="DK30" i="2"/>
  <c r="DF30" i="2"/>
  <c r="DA30" i="2"/>
  <c r="CV30" i="2"/>
  <c r="CQ30" i="2"/>
  <c r="CL30" i="2"/>
  <c r="CG30" i="2"/>
  <c r="CB30" i="2"/>
  <c r="BY33" i="2" s="1"/>
  <c r="BW30" i="2"/>
  <c r="BR30" i="2"/>
  <c r="BM30" i="2"/>
  <c r="BH30" i="2"/>
  <c r="BC30" i="2"/>
  <c r="AX30" i="2"/>
  <c r="AS30" i="2"/>
  <c r="AN30" i="2"/>
  <c r="AI30" i="2"/>
  <c r="AD30" i="2"/>
  <c r="Y30" i="2"/>
  <c r="T30" i="2"/>
  <c r="O30" i="2"/>
  <c r="J30" i="2"/>
  <c r="EY29" i="2"/>
  <c r="ET29" i="2"/>
  <c r="EO29" i="2"/>
  <c r="EJ29" i="2"/>
  <c r="EE29" i="2"/>
  <c r="DZ29" i="2"/>
  <c r="DU29" i="2"/>
  <c r="DP29" i="2"/>
  <c r="DK29" i="2"/>
  <c r="DF29" i="2"/>
  <c r="DA29" i="2"/>
  <c r="CV29" i="2"/>
  <c r="CQ29" i="2"/>
  <c r="CN33" i="2" s="1"/>
  <c r="CL29" i="2"/>
  <c r="CG29" i="2"/>
  <c r="CB29" i="2"/>
  <c r="BW29" i="2"/>
  <c r="BR29" i="2"/>
  <c r="BM29" i="2"/>
  <c r="BH29" i="2"/>
  <c r="BC29" i="2"/>
  <c r="AX29" i="2"/>
  <c r="AS29" i="2"/>
  <c r="AN29" i="2"/>
  <c r="AI29" i="2"/>
  <c r="AD29" i="2"/>
  <c r="Y29" i="2"/>
  <c r="T29" i="2"/>
  <c r="O29" i="2"/>
  <c r="L33" i="2" s="1"/>
  <c r="J29" i="2"/>
  <c r="EY28" i="2"/>
  <c r="ET28" i="2"/>
  <c r="EO28" i="2"/>
  <c r="EJ28" i="2"/>
  <c r="EE28" i="2"/>
  <c r="DZ28" i="2"/>
  <c r="DU28" i="2"/>
  <c r="DP28" i="2"/>
  <c r="DK28" i="2"/>
  <c r="DF28" i="2"/>
  <c r="DA28" i="2"/>
  <c r="CV28" i="2"/>
  <c r="CQ28" i="2"/>
  <c r="CL28" i="2"/>
  <c r="CG28" i="2"/>
  <c r="CD33" i="2" s="1"/>
  <c r="CB28" i="2"/>
  <c r="BW28" i="2"/>
  <c r="BR28" i="2"/>
  <c r="BM28" i="2"/>
  <c r="BH28" i="2"/>
  <c r="BC28" i="2"/>
  <c r="AX28" i="2"/>
  <c r="AS28" i="2"/>
  <c r="AN28" i="2"/>
  <c r="AI28" i="2"/>
  <c r="AD28" i="2"/>
  <c r="Y28" i="2"/>
  <c r="T28" i="2"/>
  <c r="O28" i="2"/>
  <c r="J28" i="2"/>
  <c r="EY27" i="2"/>
  <c r="EV33" i="2" s="1"/>
  <c r="ET27" i="2"/>
  <c r="EQ33" i="2" s="1"/>
  <c r="EO27" i="2"/>
  <c r="EL33" i="2" s="1"/>
  <c r="EJ27" i="2"/>
  <c r="EE27" i="2"/>
  <c r="DZ27" i="2"/>
  <c r="DU27" i="2"/>
  <c r="DP27" i="2"/>
  <c r="DK27" i="2"/>
  <c r="DH33" i="2" s="1"/>
  <c r="DF27" i="2"/>
  <c r="DA27" i="2"/>
  <c r="CX33" i="2" s="1"/>
  <c r="CV27" i="2"/>
  <c r="CQ27" i="2"/>
  <c r="CL27" i="2"/>
  <c r="CI33" i="2" s="1"/>
  <c r="CG27" i="2"/>
  <c r="CB27" i="2"/>
  <c r="BW27" i="2"/>
  <c r="BR27" i="2"/>
  <c r="BM27" i="2"/>
  <c r="BJ33" i="2" s="1"/>
  <c r="BH27" i="2"/>
  <c r="BC27" i="2"/>
  <c r="AX27" i="2"/>
  <c r="AS27" i="2"/>
  <c r="AN27" i="2"/>
  <c r="AI27" i="2"/>
  <c r="AD27" i="2"/>
  <c r="Y27" i="2"/>
  <c r="V33" i="2" s="1"/>
  <c r="T27" i="2"/>
  <c r="O27" i="2"/>
  <c r="J27" i="2"/>
  <c r="G33" i="2" s="1"/>
  <c r="EY24" i="2"/>
  <c r="ET24" i="2"/>
  <c r="EO24" i="2"/>
  <c r="EJ24" i="2"/>
  <c r="EE24" i="2"/>
  <c r="DZ24" i="2"/>
  <c r="DU24" i="2"/>
  <c r="DP24" i="2"/>
  <c r="DK24" i="2"/>
  <c r="DF24" i="2"/>
  <c r="DA24" i="2"/>
  <c r="CV24" i="2"/>
  <c r="CQ24" i="2"/>
  <c r="CL24" i="2"/>
  <c r="CG24" i="2"/>
  <c r="CB24" i="2"/>
  <c r="BW24" i="2"/>
  <c r="BR24" i="2"/>
  <c r="BM24" i="2"/>
  <c r="BH24" i="2"/>
  <c r="BC24" i="2"/>
  <c r="AX24" i="2"/>
  <c r="AS24" i="2"/>
  <c r="AN24" i="2"/>
  <c r="AI24" i="2"/>
  <c r="AD24" i="2"/>
  <c r="Y24" i="2"/>
  <c r="T24" i="2"/>
  <c r="O24" i="2"/>
  <c r="J24" i="2"/>
  <c r="EY23" i="2"/>
  <c r="ET23" i="2"/>
  <c r="EO23" i="2"/>
  <c r="EJ23" i="2"/>
  <c r="EE23" i="2"/>
  <c r="DZ23" i="2"/>
  <c r="DU23" i="2"/>
  <c r="DP23" i="2"/>
  <c r="DK23" i="2"/>
  <c r="DF23" i="2"/>
  <c r="DA23" i="2"/>
  <c r="CV23" i="2"/>
  <c r="CQ23" i="2"/>
  <c r="CL23" i="2"/>
  <c r="CG23" i="2"/>
  <c r="CB23" i="2"/>
  <c r="BW23" i="2"/>
  <c r="BR23" i="2"/>
  <c r="BM23" i="2"/>
  <c r="BH23" i="2"/>
  <c r="BC23" i="2"/>
  <c r="AX23" i="2"/>
  <c r="AS23" i="2"/>
  <c r="AN23" i="2"/>
  <c r="AI23" i="2"/>
  <c r="AD23" i="2"/>
  <c r="Y23" i="2"/>
  <c r="T23" i="2"/>
  <c r="O23" i="2"/>
  <c r="J23" i="2"/>
  <c r="EY22" i="2"/>
  <c r="ET22" i="2"/>
  <c r="EO22" i="2"/>
  <c r="EJ22" i="2"/>
  <c r="EG25" i="2" s="1"/>
  <c r="EE22" i="2"/>
  <c r="DZ22" i="2"/>
  <c r="DU22" i="2"/>
  <c r="DP22" i="2"/>
  <c r="DK22" i="2"/>
  <c r="DF22" i="2"/>
  <c r="DA22" i="2"/>
  <c r="CV22" i="2"/>
  <c r="CS25" i="2" s="1"/>
  <c r="CQ22" i="2"/>
  <c r="CN25" i="2" s="1"/>
  <c r="CL22" i="2"/>
  <c r="CG22" i="2"/>
  <c r="CB22" i="2"/>
  <c r="BW22" i="2"/>
  <c r="BR22" i="2"/>
  <c r="BM22" i="2"/>
  <c r="BH22" i="2"/>
  <c r="BE25" i="2" s="1"/>
  <c r="BC22" i="2"/>
  <c r="AX22" i="2"/>
  <c r="AS22" i="2"/>
  <c r="AN22" i="2"/>
  <c r="AI22" i="2"/>
  <c r="AD22" i="2"/>
  <c r="Y22" i="2"/>
  <c r="T22" i="2"/>
  <c r="O22" i="2"/>
  <c r="J22" i="2"/>
  <c r="EY21" i="2"/>
  <c r="ET21" i="2"/>
  <c r="EO21" i="2"/>
  <c r="EJ21" i="2"/>
  <c r="EE21" i="2"/>
  <c r="DZ21" i="2"/>
  <c r="DW25" i="2" s="1"/>
  <c r="DU21" i="2"/>
  <c r="DP21" i="2"/>
  <c r="DK21" i="2"/>
  <c r="DF21" i="2"/>
  <c r="DA21" i="2"/>
  <c r="CV21" i="2"/>
  <c r="CQ21" i="2"/>
  <c r="CL21" i="2"/>
  <c r="CG21" i="2"/>
  <c r="CB21" i="2"/>
  <c r="BW21" i="2"/>
  <c r="BR21" i="2"/>
  <c r="BM21" i="2"/>
  <c r="BH21" i="2"/>
  <c r="BC21" i="2"/>
  <c r="AX21" i="2"/>
  <c r="AU25" i="2" s="1"/>
  <c r="AS21" i="2"/>
  <c r="AN21" i="2"/>
  <c r="AI21" i="2"/>
  <c r="AD21" i="2"/>
  <c r="Y21" i="2"/>
  <c r="T21" i="2"/>
  <c r="O21" i="2"/>
  <c r="J21" i="2"/>
  <c r="G25" i="2" s="1"/>
  <c r="EY20" i="2"/>
  <c r="ET20" i="2"/>
  <c r="EO20" i="2"/>
  <c r="EJ20" i="2"/>
  <c r="EE20" i="2"/>
  <c r="DZ20" i="2"/>
  <c r="DU20" i="2"/>
  <c r="DP20" i="2"/>
  <c r="DM25" i="2" s="1"/>
  <c r="DK20" i="2"/>
  <c r="DF20" i="2"/>
  <c r="DA20" i="2"/>
  <c r="CV20" i="2"/>
  <c r="CQ20" i="2"/>
  <c r="CL20" i="2"/>
  <c r="CG20" i="2"/>
  <c r="CB20" i="2"/>
  <c r="BW20" i="2"/>
  <c r="BT25" i="2" s="1"/>
  <c r="BR20" i="2"/>
  <c r="BM20" i="2"/>
  <c r="BH20" i="2"/>
  <c r="BC20" i="2"/>
  <c r="AX20" i="2"/>
  <c r="AS20" i="2"/>
  <c r="AN20" i="2"/>
  <c r="AK25" i="2" s="1"/>
  <c r="AI20" i="2"/>
  <c r="AD20" i="2"/>
  <c r="Y20" i="2"/>
  <c r="T20" i="2"/>
  <c r="O20" i="2"/>
  <c r="J20" i="2"/>
  <c r="EY19" i="2"/>
  <c r="EV25" i="2" s="1"/>
  <c r="ET19" i="2"/>
  <c r="EQ25" i="2" s="1"/>
  <c r="EO19" i="2"/>
  <c r="EL25" i="2" s="1"/>
  <c r="EJ19" i="2"/>
  <c r="EE19" i="2"/>
  <c r="DZ19" i="2"/>
  <c r="DU19" i="2"/>
  <c r="DP19" i="2"/>
  <c r="DK19" i="2"/>
  <c r="DH25" i="2" s="1"/>
  <c r="DF19" i="2"/>
  <c r="DC25" i="2" s="1"/>
  <c r="DA19" i="2"/>
  <c r="CX25" i="2" s="1"/>
  <c r="CV19" i="2"/>
  <c r="CQ19" i="2"/>
  <c r="CL19" i="2"/>
  <c r="CG19" i="2"/>
  <c r="CD25" i="2" s="1"/>
  <c r="CB19" i="2"/>
  <c r="BW19" i="2"/>
  <c r="BR19" i="2"/>
  <c r="BO25" i="2" s="1"/>
  <c r="BM19" i="2"/>
  <c r="BJ25" i="2" s="1"/>
  <c r="BH19" i="2"/>
  <c r="BC19" i="2"/>
  <c r="AZ25" i="2" s="1"/>
  <c r="AX19" i="2"/>
  <c r="AS19" i="2"/>
  <c r="AN19" i="2"/>
  <c r="AI19" i="2"/>
  <c r="AF25" i="2" s="1"/>
  <c r="AD19" i="2"/>
  <c r="AA25" i="2" s="1"/>
  <c r="Y19" i="2"/>
  <c r="V25" i="2" s="1"/>
  <c r="T19" i="2"/>
  <c r="O19" i="2"/>
  <c r="J19" i="2"/>
  <c r="EV17" i="2"/>
  <c r="EB17" i="2"/>
  <c r="DR17" i="2"/>
  <c r="BJ17" i="2"/>
  <c r="AP17" i="2"/>
  <c r="AA17" i="2"/>
  <c r="EY16" i="2"/>
  <c r="ET16" i="2"/>
  <c r="EO16" i="2"/>
  <c r="EJ16" i="2"/>
  <c r="EE16" i="2"/>
  <c r="DZ16" i="2"/>
  <c r="DU16" i="2"/>
  <c r="DP16" i="2"/>
  <c r="DK16" i="2"/>
  <c r="DF16" i="2"/>
  <c r="DA16" i="2"/>
  <c r="CV16" i="2"/>
  <c r="CQ16" i="2"/>
  <c r="CL16" i="2"/>
  <c r="CG16" i="2"/>
  <c r="CB16" i="2"/>
  <c r="BW16" i="2"/>
  <c r="BR16" i="2"/>
  <c r="BM16" i="2"/>
  <c r="BH16" i="2"/>
  <c r="BC16" i="2"/>
  <c r="AX16" i="2"/>
  <c r="AS16" i="2"/>
  <c r="AN16" i="2"/>
  <c r="AI16" i="2"/>
  <c r="AD16" i="2"/>
  <c r="Y16" i="2"/>
  <c r="T16" i="2"/>
  <c r="O16" i="2"/>
  <c r="J16" i="2"/>
  <c r="EY15" i="2"/>
  <c r="ET15" i="2"/>
  <c r="EO15" i="2"/>
  <c r="EJ15" i="2"/>
  <c r="EE15" i="2"/>
  <c r="DZ15" i="2"/>
  <c r="DU15" i="2"/>
  <c r="DP15" i="2"/>
  <c r="DK15" i="2"/>
  <c r="DF15" i="2"/>
  <c r="DA15" i="2"/>
  <c r="CV15" i="2"/>
  <c r="CQ15" i="2"/>
  <c r="CL15" i="2"/>
  <c r="CG15" i="2"/>
  <c r="CB15" i="2"/>
  <c r="BW15" i="2"/>
  <c r="BR15" i="2"/>
  <c r="BM15" i="2"/>
  <c r="BH15" i="2"/>
  <c r="BC15" i="2"/>
  <c r="AX15" i="2"/>
  <c r="AS15" i="2"/>
  <c r="AN15" i="2"/>
  <c r="AI15" i="2"/>
  <c r="AD15" i="2"/>
  <c r="Y15" i="2"/>
  <c r="T15" i="2"/>
  <c r="O15" i="2"/>
  <c r="J15" i="2"/>
  <c r="EY14" i="2"/>
  <c r="ET14" i="2"/>
  <c r="EO14" i="2"/>
  <c r="EJ14" i="2"/>
  <c r="EE14" i="2"/>
  <c r="DZ14" i="2"/>
  <c r="DU14" i="2"/>
  <c r="DP14" i="2"/>
  <c r="DK14" i="2"/>
  <c r="DF14" i="2"/>
  <c r="DC17" i="2" s="1"/>
  <c r="DA14" i="2"/>
  <c r="CV14" i="2"/>
  <c r="CQ14" i="2"/>
  <c r="CN17" i="2" s="1"/>
  <c r="CL14" i="2"/>
  <c r="CG14" i="2"/>
  <c r="CB14" i="2"/>
  <c r="BW14" i="2"/>
  <c r="BR14" i="2"/>
  <c r="BM14" i="2"/>
  <c r="BH14" i="2"/>
  <c r="BC14" i="2"/>
  <c r="AZ17" i="2" s="1"/>
  <c r="AX14" i="2"/>
  <c r="AS14" i="2"/>
  <c r="AN14" i="2"/>
  <c r="AI14" i="2"/>
  <c r="AD14" i="2"/>
  <c r="Y14" i="2"/>
  <c r="T14" i="2"/>
  <c r="O14" i="2"/>
  <c r="J14" i="2"/>
  <c r="EY13" i="2"/>
  <c r="ET13" i="2"/>
  <c r="EO13" i="2"/>
  <c r="EJ13" i="2"/>
  <c r="EG17" i="2" s="1"/>
  <c r="EE13" i="2"/>
  <c r="DZ13" i="2"/>
  <c r="DU13" i="2"/>
  <c r="DP13" i="2"/>
  <c r="DK13" i="2"/>
  <c r="DF13" i="2"/>
  <c r="DA13" i="2"/>
  <c r="CV13" i="2"/>
  <c r="CQ13" i="2"/>
  <c r="CL13" i="2"/>
  <c r="CG13" i="2"/>
  <c r="CB13" i="2"/>
  <c r="BW13" i="2"/>
  <c r="BR13" i="2"/>
  <c r="BM13" i="2"/>
  <c r="BH13" i="2"/>
  <c r="BC13" i="2"/>
  <c r="AX13" i="2"/>
  <c r="AS13" i="2"/>
  <c r="AN13" i="2"/>
  <c r="AI13" i="2"/>
  <c r="AD13" i="2"/>
  <c r="Y13" i="2"/>
  <c r="T13" i="2"/>
  <c r="Q17" i="2" s="1"/>
  <c r="O13" i="2"/>
  <c r="L17" i="2" s="1"/>
  <c r="J13" i="2"/>
  <c r="EY12" i="2"/>
  <c r="ET12" i="2"/>
  <c r="EO12" i="2"/>
  <c r="EJ12" i="2"/>
  <c r="EE12" i="2"/>
  <c r="DZ12" i="2"/>
  <c r="DU12" i="2"/>
  <c r="DP12" i="2"/>
  <c r="DK12" i="2"/>
  <c r="DF12" i="2"/>
  <c r="DA12" i="2"/>
  <c r="CV12" i="2"/>
  <c r="CQ12" i="2"/>
  <c r="CL12" i="2"/>
  <c r="CI17" i="2" s="1"/>
  <c r="CG12" i="2"/>
  <c r="CD17" i="2" s="1"/>
  <c r="CB12" i="2"/>
  <c r="BW12" i="2"/>
  <c r="BT17" i="2" s="1"/>
  <c r="BR12" i="2"/>
  <c r="BM12" i="2"/>
  <c r="BH12" i="2"/>
  <c r="BC12" i="2"/>
  <c r="AX12" i="2"/>
  <c r="AU17" i="2" s="1"/>
  <c r="AS12" i="2"/>
  <c r="AN12" i="2"/>
  <c r="AI12" i="2"/>
  <c r="AD12" i="2"/>
  <c r="Y12" i="2"/>
  <c r="T12" i="2"/>
  <c r="O12" i="2"/>
  <c r="J12" i="2"/>
  <c r="EY11" i="2"/>
  <c r="ET11" i="2"/>
  <c r="EQ17" i="2" s="1"/>
  <c r="EO11" i="2"/>
  <c r="EL17" i="2" s="1"/>
  <c r="EJ11" i="2"/>
  <c r="EE11" i="2"/>
  <c r="DZ11" i="2"/>
  <c r="DU11" i="2"/>
  <c r="DP11" i="2"/>
  <c r="DM17" i="2" s="1"/>
  <c r="DK11" i="2"/>
  <c r="DH17" i="2" s="1"/>
  <c r="DF11" i="2"/>
  <c r="DA11" i="2"/>
  <c r="CX17" i="2" s="1"/>
  <c r="CV11" i="2"/>
  <c r="CQ11" i="2"/>
  <c r="CL11" i="2"/>
  <c r="CG11" i="2"/>
  <c r="CB11" i="2"/>
  <c r="BY17" i="2" s="1"/>
  <c r="BW11" i="2"/>
  <c r="BR11" i="2"/>
  <c r="BO17" i="2" s="1"/>
  <c r="BM11" i="2"/>
  <c r="BH11" i="2"/>
  <c r="BC11" i="2"/>
  <c r="AX11" i="2"/>
  <c r="AS11" i="2"/>
  <c r="AN11" i="2"/>
  <c r="AK17" i="2" s="1"/>
  <c r="AI11" i="2"/>
  <c r="AF17" i="2" s="1"/>
  <c r="AD11" i="2"/>
  <c r="Y11" i="2"/>
  <c r="V17" i="2" s="1"/>
  <c r="T11" i="2"/>
  <c r="O11" i="2"/>
  <c r="J11" i="2"/>
  <c r="EY8" i="2"/>
  <c r="ET8" i="2"/>
  <c r="EO8" i="2"/>
  <c r="EJ8" i="2"/>
  <c r="EE8" i="2"/>
  <c r="DZ8" i="2"/>
  <c r="DU8" i="2"/>
  <c r="DP8" i="2"/>
  <c r="DK8" i="2"/>
  <c r="DF8" i="2"/>
  <c r="DA8" i="2"/>
  <c r="CV8" i="2"/>
  <c r="CQ8" i="2"/>
  <c r="CL8" i="2"/>
  <c r="CG8" i="2"/>
  <c r="CB8" i="2"/>
  <c r="BW8" i="2"/>
  <c r="BR8" i="2"/>
  <c r="BM8" i="2"/>
  <c r="BH8" i="2"/>
  <c r="BC8" i="2"/>
  <c r="AX8" i="2"/>
  <c r="AS8" i="2"/>
  <c r="AN8" i="2"/>
  <c r="AI8" i="2"/>
  <c r="AD8" i="2"/>
  <c r="Y8" i="2"/>
  <c r="T8" i="2"/>
  <c r="O8" i="2"/>
  <c r="J8" i="2"/>
  <c r="EY7" i="2"/>
  <c r="ET7" i="2"/>
  <c r="EO7" i="2"/>
  <c r="EJ7" i="2"/>
  <c r="EE7" i="2"/>
  <c r="DZ7" i="2"/>
  <c r="DU7" i="2"/>
  <c r="DP7" i="2"/>
  <c r="DK7" i="2"/>
  <c r="DF7" i="2"/>
  <c r="DA7" i="2"/>
  <c r="CV7" i="2"/>
  <c r="CQ7" i="2"/>
  <c r="CL7" i="2"/>
  <c r="CG7" i="2"/>
  <c r="CB7" i="2"/>
  <c r="BW7" i="2"/>
  <c r="BR7" i="2"/>
  <c r="BM7" i="2"/>
  <c r="BH7" i="2"/>
  <c r="BC7" i="2"/>
  <c r="AX7" i="2"/>
  <c r="AS7" i="2"/>
  <c r="AN7" i="2"/>
  <c r="AI7" i="2"/>
  <c r="AD7" i="2"/>
  <c r="Y7" i="2"/>
  <c r="T7" i="2"/>
  <c r="O7" i="2"/>
  <c r="J7" i="2"/>
  <c r="EY6" i="2"/>
  <c r="ET6" i="2"/>
  <c r="EO6" i="2"/>
  <c r="EJ6" i="2"/>
  <c r="EE6" i="2"/>
  <c r="DZ6" i="2"/>
  <c r="DU6" i="2"/>
  <c r="DP6" i="2"/>
  <c r="DK6" i="2"/>
  <c r="DF6" i="2"/>
  <c r="DA6" i="2"/>
  <c r="CV6" i="2"/>
  <c r="CQ6" i="2"/>
  <c r="CL6" i="2"/>
  <c r="CG6" i="2"/>
  <c r="CB6" i="2"/>
  <c r="BW6" i="2"/>
  <c r="BR6" i="2"/>
  <c r="BM6" i="2"/>
  <c r="BH6" i="2"/>
  <c r="BC6" i="2"/>
  <c r="AX6" i="2"/>
  <c r="AS6" i="2"/>
  <c r="AN6" i="2"/>
  <c r="AI6" i="2"/>
  <c r="AD6" i="2"/>
  <c r="Y6" i="2"/>
  <c r="T6" i="2"/>
  <c r="O6" i="2"/>
  <c r="J6" i="2"/>
  <c r="EY5" i="2"/>
  <c r="ET5" i="2"/>
  <c r="EO5" i="2"/>
  <c r="EJ5" i="2"/>
  <c r="EE5" i="2"/>
  <c r="DZ5" i="2"/>
  <c r="DU5" i="2"/>
  <c r="DP5" i="2"/>
  <c r="DK5" i="2"/>
  <c r="DF5" i="2"/>
  <c r="DA5" i="2"/>
  <c r="CV5" i="2"/>
  <c r="CQ5" i="2"/>
  <c r="CL5" i="2"/>
  <c r="CG5" i="2"/>
  <c r="CB5" i="2"/>
  <c r="BW5" i="2"/>
  <c r="BR5" i="2"/>
  <c r="BM5" i="2"/>
  <c r="BH5" i="2"/>
  <c r="BC5" i="2"/>
  <c r="AX5" i="2"/>
  <c r="AS5" i="2"/>
  <c r="AN5" i="2"/>
  <c r="AI5" i="2"/>
  <c r="AD5" i="2"/>
  <c r="Y5" i="2"/>
  <c r="T5" i="2"/>
  <c r="O5" i="2"/>
  <c r="J5" i="2"/>
  <c r="EY4" i="2"/>
  <c r="ET4" i="2"/>
  <c r="EO4" i="2"/>
  <c r="EJ4" i="2"/>
  <c r="EE4" i="2"/>
  <c r="DZ4" i="2"/>
  <c r="DU4" i="2"/>
  <c r="DP4" i="2"/>
  <c r="DK4" i="2"/>
  <c r="DF4" i="2"/>
  <c r="DA4" i="2"/>
  <c r="CV4" i="2"/>
  <c r="CQ4" i="2"/>
  <c r="CL4" i="2"/>
  <c r="CG4" i="2"/>
  <c r="CB4" i="2"/>
  <c r="BW4" i="2"/>
  <c r="BR4" i="2"/>
  <c r="BM4" i="2"/>
  <c r="BH4" i="2"/>
  <c r="BC4" i="2"/>
  <c r="AX4" i="2"/>
  <c r="AS4" i="2"/>
  <c r="AN4" i="2"/>
  <c r="AI4" i="2"/>
  <c r="AD4" i="2"/>
  <c r="Y4" i="2"/>
  <c r="T4" i="2"/>
  <c r="O4" i="2"/>
  <c r="J4" i="2"/>
  <c r="EY3" i="2"/>
  <c r="ET3" i="2"/>
  <c r="EO3" i="2"/>
  <c r="EJ3" i="2"/>
  <c r="EE3" i="2"/>
  <c r="DZ3" i="2"/>
  <c r="DU3" i="2"/>
  <c r="DP3" i="2"/>
  <c r="DK3" i="2"/>
  <c r="DF3" i="2"/>
  <c r="DA3" i="2"/>
  <c r="CV3" i="2"/>
  <c r="CQ3" i="2"/>
  <c r="CL3" i="2"/>
  <c r="CG3" i="2"/>
  <c r="CB3" i="2"/>
  <c r="BW3" i="2"/>
  <c r="BR3" i="2"/>
  <c r="BM3" i="2"/>
  <c r="BH3" i="2"/>
  <c r="BC3" i="2"/>
  <c r="AX3" i="2"/>
  <c r="AS3" i="2"/>
  <c r="AN3" i="2"/>
  <c r="AI3" i="2"/>
  <c r="AD3" i="2"/>
  <c r="Y3" i="2"/>
  <c r="T3" i="2"/>
  <c r="O3" i="2"/>
  <c r="J3" i="2"/>
  <c r="EY1" i="2"/>
  <c r="ET1" i="2"/>
  <c r="EO1" i="2"/>
  <c r="EJ1" i="2"/>
  <c r="EE1" i="2"/>
  <c r="DZ1" i="2"/>
  <c r="DU1" i="2"/>
  <c r="DP1" i="2"/>
  <c r="DK1" i="2"/>
  <c r="DF1" i="2"/>
  <c r="DA1" i="2"/>
  <c r="CV1" i="2"/>
  <c r="CQ1" i="2"/>
  <c r="CL1" i="2"/>
  <c r="CG1" i="2"/>
  <c r="CB1" i="2"/>
  <c r="BW1" i="2"/>
  <c r="BR1" i="2"/>
  <c r="BM1" i="2"/>
  <c r="BH1" i="2"/>
  <c r="BC1" i="2"/>
  <c r="AX1" i="2"/>
  <c r="AS1" i="2"/>
  <c r="AN1" i="2"/>
  <c r="AI1" i="2"/>
  <c r="AD1" i="2"/>
  <c r="Y1" i="2"/>
  <c r="T1" i="2"/>
  <c r="O1" i="2"/>
  <c r="BR67" i="1"/>
  <c r="BM67" i="1"/>
  <c r="BH67" i="1"/>
  <c r="BC67" i="1"/>
  <c r="AX67" i="1"/>
  <c r="T67" i="1" s="1"/>
  <c r="AS67" i="1"/>
  <c r="O67" i="1" s="1"/>
  <c r="AN67" i="1"/>
  <c r="J67" i="1" s="1"/>
  <c r="AI67" i="1"/>
  <c r="AD67" i="1"/>
  <c r="Y67" i="1"/>
  <c r="BT65" i="1"/>
  <c r="AP65" i="1"/>
  <c r="L65" i="1"/>
  <c r="BW64" i="1"/>
  <c r="BR64" i="1"/>
  <c r="BM64" i="1"/>
  <c r="BH64" i="1"/>
  <c r="BC64" i="1"/>
  <c r="AX64" i="1"/>
  <c r="AS64" i="1"/>
  <c r="AN64" i="1"/>
  <c r="AI64" i="1"/>
  <c r="AD64" i="1"/>
  <c r="Y64" i="1"/>
  <c r="T64" i="1"/>
  <c r="O64" i="1"/>
  <c r="J64" i="1"/>
  <c r="BW63" i="1"/>
  <c r="BR63" i="1"/>
  <c r="BM63" i="1"/>
  <c r="BH63" i="1"/>
  <c r="BC63" i="1"/>
  <c r="AX63" i="1"/>
  <c r="AS63" i="1"/>
  <c r="AN63" i="1"/>
  <c r="AI63" i="1"/>
  <c r="AD63" i="1"/>
  <c r="Y63" i="1"/>
  <c r="T63" i="1"/>
  <c r="O63" i="1"/>
  <c r="J63" i="1"/>
  <c r="BW62" i="1"/>
  <c r="BR62" i="1"/>
  <c r="BM62" i="1"/>
  <c r="BH62" i="1"/>
  <c r="BC62" i="1"/>
  <c r="AX62" i="1"/>
  <c r="AS62" i="1"/>
  <c r="AN62" i="1"/>
  <c r="AI62" i="1"/>
  <c r="AD62" i="1"/>
  <c r="AA65" i="1" s="1"/>
  <c r="Y62" i="1"/>
  <c r="T62" i="1"/>
  <c r="O62" i="1"/>
  <c r="J62" i="1"/>
  <c r="BW61" i="1"/>
  <c r="BR61" i="1"/>
  <c r="BM61" i="1"/>
  <c r="BH61" i="1"/>
  <c r="BC61" i="1"/>
  <c r="AZ65" i="1" s="1"/>
  <c r="AX61" i="1"/>
  <c r="AS61" i="1"/>
  <c r="AN61" i="1"/>
  <c r="AI61" i="1"/>
  <c r="AD61" i="1"/>
  <c r="Y61" i="1"/>
  <c r="T61" i="1"/>
  <c r="O61" i="1"/>
  <c r="J61" i="1"/>
  <c r="BW60" i="1"/>
  <c r="BR60" i="1"/>
  <c r="BM60" i="1"/>
  <c r="BH60" i="1"/>
  <c r="BC60" i="1"/>
  <c r="AX60" i="1"/>
  <c r="AU65" i="1" s="1"/>
  <c r="AS60" i="1"/>
  <c r="AN60" i="1"/>
  <c r="AI60" i="1"/>
  <c r="AD60" i="1"/>
  <c r="Y60" i="1"/>
  <c r="T60" i="1"/>
  <c r="O60" i="1"/>
  <c r="J60" i="1"/>
  <c r="G65" i="1" s="1"/>
  <c r="BW59" i="1"/>
  <c r="BR59" i="1"/>
  <c r="BM59" i="1"/>
  <c r="BJ65" i="1" s="1"/>
  <c r="BH59" i="1"/>
  <c r="BC59" i="1"/>
  <c r="AX59" i="1"/>
  <c r="AS59" i="1"/>
  <c r="AN59" i="1"/>
  <c r="AK65" i="1" s="1"/>
  <c r="AI59" i="1"/>
  <c r="AF65" i="1" s="1"/>
  <c r="AD59" i="1"/>
  <c r="Y59" i="1"/>
  <c r="V65" i="1" s="1"/>
  <c r="T59" i="1"/>
  <c r="O59" i="1"/>
  <c r="J59" i="1"/>
  <c r="BO57" i="1"/>
  <c r="AZ57" i="1"/>
  <c r="BW56" i="1"/>
  <c r="BR56" i="1"/>
  <c r="BM56" i="1"/>
  <c r="BH56" i="1"/>
  <c r="BC56" i="1"/>
  <c r="AX56" i="1"/>
  <c r="AS56" i="1"/>
  <c r="AN56" i="1"/>
  <c r="AI56" i="1"/>
  <c r="AD56" i="1"/>
  <c r="Y56" i="1"/>
  <c r="T56" i="1"/>
  <c r="O56" i="1"/>
  <c r="J56" i="1"/>
  <c r="BW55" i="1"/>
  <c r="BR55" i="1"/>
  <c r="BM55" i="1"/>
  <c r="BH55" i="1"/>
  <c r="BC55" i="1"/>
  <c r="AX55" i="1"/>
  <c r="AS55" i="1"/>
  <c r="AN55" i="1"/>
  <c r="AI55" i="1"/>
  <c r="AD55" i="1"/>
  <c r="Y55" i="1"/>
  <c r="T55" i="1"/>
  <c r="O55" i="1"/>
  <c r="J55" i="1"/>
  <c r="BW54" i="1"/>
  <c r="BR54" i="1"/>
  <c r="BM54" i="1"/>
  <c r="BH54" i="1"/>
  <c r="BC54" i="1"/>
  <c r="AX54" i="1"/>
  <c r="AS54" i="1"/>
  <c r="AN54" i="1"/>
  <c r="AI54" i="1"/>
  <c r="AD54" i="1"/>
  <c r="Y54" i="1"/>
  <c r="T54" i="1"/>
  <c r="O54" i="1"/>
  <c r="J54" i="1"/>
  <c r="BW53" i="1"/>
  <c r="BR53" i="1"/>
  <c r="BM53" i="1"/>
  <c r="BH53" i="1"/>
  <c r="BE57" i="1" s="1"/>
  <c r="BC53" i="1"/>
  <c r="AX53" i="1"/>
  <c r="AU57" i="1" s="1"/>
  <c r="AS53" i="1"/>
  <c r="AN53" i="1"/>
  <c r="AI53" i="1"/>
  <c r="AD53" i="1"/>
  <c r="Y53" i="1"/>
  <c r="T53" i="1"/>
  <c r="Q57" i="1" s="1"/>
  <c r="O53" i="1"/>
  <c r="J53" i="1"/>
  <c r="G57" i="1" s="1"/>
  <c r="BW52" i="1"/>
  <c r="BR52" i="1"/>
  <c r="BM52" i="1"/>
  <c r="BH52" i="1"/>
  <c r="BC52" i="1"/>
  <c r="AX52" i="1"/>
  <c r="AS52" i="1"/>
  <c r="AN52" i="1"/>
  <c r="AI52" i="1"/>
  <c r="AF57" i="1" s="1"/>
  <c r="AD52" i="1"/>
  <c r="Y52" i="1"/>
  <c r="T52" i="1"/>
  <c r="O52" i="1"/>
  <c r="J52" i="1"/>
  <c r="BW51" i="1"/>
  <c r="BR51" i="1"/>
  <c r="BM51" i="1"/>
  <c r="BH51" i="1"/>
  <c r="BC51" i="1"/>
  <c r="AX51" i="1"/>
  <c r="AS51" i="1"/>
  <c r="AN51" i="1"/>
  <c r="AI51" i="1"/>
  <c r="AD51" i="1"/>
  <c r="AA57" i="1" s="1"/>
  <c r="Y51" i="1"/>
  <c r="V57" i="1" s="1"/>
  <c r="T51" i="1"/>
  <c r="O51" i="1"/>
  <c r="L57" i="1" s="1"/>
  <c r="J51" i="1"/>
  <c r="BE49" i="1"/>
  <c r="AK49" i="1"/>
  <c r="AA49" i="1"/>
  <c r="BW48" i="1"/>
  <c r="BR48" i="1"/>
  <c r="BM48" i="1"/>
  <c r="BH48" i="1"/>
  <c r="BC48" i="1"/>
  <c r="AX48" i="1"/>
  <c r="AS48" i="1"/>
  <c r="AN48" i="1"/>
  <c r="AI48" i="1"/>
  <c r="AD48" i="1"/>
  <c r="Y48" i="1"/>
  <c r="T48" i="1"/>
  <c r="O48" i="1"/>
  <c r="J48" i="1"/>
  <c r="BW47" i="1"/>
  <c r="BR47" i="1"/>
  <c r="BM47" i="1"/>
  <c r="BH47" i="1"/>
  <c r="BC47" i="1"/>
  <c r="AX47" i="1"/>
  <c r="AS47" i="1"/>
  <c r="AN47" i="1"/>
  <c r="AI47" i="1"/>
  <c r="AD47" i="1"/>
  <c r="Y47" i="1"/>
  <c r="T47" i="1"/>
  <c r="O47" i="1"/>
  <c r="J47" i="1"/>
  <c r="BW46" i="1"/>
  <c r="BR46" i="1"/>
  <c r="BO49" i="1" s="1"/>
  <c r="BM46" i="1"/>
  <c r="BH46" i="1"/>
  <c r="BC46" i="1"/>
  <c r="AX46" i="1"/>
  <c r="AS46" i="1"/>
  <c r="AN46" i="1"/>
  <c r="AI46" i="1"/>
  <c r="AD46" i="1"/>
  <c r="Y46" i="1"/>
  <c r="T46" i="1"/>
  <c r="O46" i="1"/>
  <c r="L49" i="1" s="1"/>
  <c r="J46" i="1"/>
  <c r="BW45" i="1"/>
  <c r="BR45" i="1"/>
  <c r="BM45" i="1"/>
  <c r="BH45" i="1"/>
  <c r="BC45" i="1"/>
  <c r="AX45" i="1"/>
  <c r="AS45" i="1"/>
  <c r="AN45" i="1"/>
  <c r="AI45" i="1"/>
  <c r="AD45" i="1"/>
  <c r="Y45" i="1"/>
  <c r="T45" i="1"/>
  <c r="Q49" i="1" s="1"/>
  <c r="O45" i="1"/>
  <c r="J45" i="1"/>
  <c r="BW44" i="1"/>
  <c r="BT49" i="1" s="1"/>
  <c r="BR44" i="1"/>
  <c r="BM44" i="1"/>
  <c r="BH44" i="1"/>
  <c r="BC44" i="1"/>
  <c r="AX44" i="1"/>
  <c r="AS44" i="1"/>
  <c r="AN44" i="1"/>
  <c r="AI44" i="1"/>
  <c r="AD44" i="1"/>
  <c r="Y44" i="1"/>
  <c r="T44" i="1"/>
  <c r="O44" i="1"/>
  <c r="J44" i="1"/>
  <c r="BW43" i="1"/>
  <c r="BR43" i="1"/>
  <c r="BM43" i="1"/>
  <c r="BJ49" i="1" s="1"/>
  <c r="BH43" i="1"/>
  <c r="BC43" i="1"/>
  <c r="AZ49" i="1" s="1"/>
  <c r="AX43" i="1"/>
  <c r="AS43" i="1"/>
  <c r="AN43" i="1"/>
  <c r="AI43" i="1"/>
  <c r="AD43" i="1"/>
  <c r="Y43" i="1"/>
  <c r="V49" i="1" s="1"/>
  <c r="T43" i="1"/>
  <c r="O43" i="1"/>
  <c r="J43" i="1"/>
  <c r="BW40" i="1"/>
  <c r="BR40" i="1"/>
  <c r="BM40" i="1"/>
  <c r="BH40" i="1"/>
  <c r="BC40" i="1"/>
  <c r="AX40" i="1"/>
  <c r="AS40" i="1"/>
  <c r="AN40" i="1"/>
  <c r="AI40" i="1"/>
  <c r="AD40" i="1"/>
  <c r="Y40" i="1"/>
  <c r="T40" i="1"/>
  <c r="O40" i="1"/>
  <c r="J40" i="1"/>
  <c r="BW39" i="1"/>
  <c r="BR39" i="1"/>
  <c r="BM39" i="1"/>
  <c r="BH39" i="1"/>
  <c r="BC39" i="1"/>
  <c r="AX39" i="1"/>
  <c r="AS39" i="1"/>
  <c r="AN39" i="1"/>
  <c r="AI39" i="1"/>
  <c r="AD39" i="1"/>
  <c r="Y39" i="1"/>
  <c r="T39" i="1"/>
  <c r="O39" i="1"/>
  <c r="J39" i="1"/>
  <c r="BW38" i="1"/>
  <c r="BR38" i="1"/>
  <c r="BM38" i="1"/>
  <c r="BH38" i="1"/>
  <c r="BC38" i="1"/>
  <c r="AX38" i="1"/>
  <c r="AS38" i="1"/>
  <c r="AN38" i="1"/>
  <c r="AI38" i="1"/>
  <c r="AD38" i="1"/>
  <c r="Y38" i="1"/>
  <c r="T38" i="1"/>
  <c r="O38" i="1"/>
  <c r="J38" i="1"/>
  <c r="BW37" i="1"/>
  <c r="BR37" i="1"/>
  <c r="BM37" i="1"/>
  <c r="BH37" i="1"/>
  <c r="BC37" i="1"/>
  <c r="AX37" i="1"/>
  <c r="AU41" i="1" s="1"/>
  <c r="AS37" i="1"/>
  <c r="AN37" i="1"/>
  <c r="AI37" i="1"/>
  <c r="AD37" i="1"/>
  <c r="Y37" i="1"/>
  <c r="T37" i="1"/>
  <c r="O37" i="1"/>
  <c r="J37" i="1"/>
  <c r="G41" i="1" s="1"/>
  <c r="BW36" i="1"/>
  <c r="BT41" i="1" s="1"/>
  <c r="BR36" i="1"/>
  <c r="BM36" i="1"/>
  <c r="BH36" i="1"/>
  <c r="BC36" i="1"/>
  <c r="AZ41" i="1" s="1"/>
  <c r="AX36" i="1"/>
  <c r="AS36" i="1"/>
  <c r="AN36" i="1"/>
  <c r="AK41" i="1" s="1"/>
  <c r="AI36" i="1"/>
  <c r="AD36" i="1"/>
  <c r="Y36" i="1"/>
  <c r="T36" i="1"/>
  <c r="O36" i="1"/>
  <c r="J36" i="1"/>
  <c r="BW35" i="1"/>
  <c r="BR35" i="1"/>
  <c r="BO41" i="1" s="1"/>
  <c r="BM35" i="1"/>
  <c r="BH35" i="1"/>
  <c r="BC35" i="1"/>
  <c r="AX35" i="1"/>
  <c r="AS35" i="1"/>
  <c r="AP41" i="1" s="1"/>
  <c r="AN35" i="1"/>
  <c r="AI35" i="1"/>
  <c r="AF41" i="1" s="1"/>
  <c r="AD35" i="1"/>
  <c r="AA41" i="1" s="1"/>
  <c r="Y35" i="1"/>
  <c r="T35" i="1"/>
  <c r="O35" i="1"/>
  <c r="J35" i="1"/>
  <c r="AU33" i="1"/>
  <c r="AK33" i="1"/>
  <c r="BW32" i="1"/>
  <c r="BR32" i="1"/>
  <c r="BM32" i="1"/>
  <c r="BH32" i="1"/>
  <c r="BC32" i="1"/>
  <c r="AX32" i="1"/>
  <c r="AS32" i="1"/>
  <c r="AN32" i="1"/>
  <c r="AI32" i="1"/>
  <c r="AD32" i="1"/>
  <c r="Y32" i="1"/>
  <c r="T32" i="1"/>
  <c r="O32" i="1"/>
  <c r="J32" i="1"/>
  <c r="BW31" i="1"/>
  <c r="BR31" i="1"/>
  <c r="BM31" i="1"/>
  <c r="BH31" i="1"/>
  <c r="BC31" i="1"/>
  <c r="AX31" i="1"/>
  <c r="AS31" i="1"/>
  <c r="AN31" i="1"/>
  <c r="AI31" i="1"/>
  <c r="AD31" i="1"/>
  <c r="Y31" i="1"/>
  <c r="T31" i="1"/>
  <c r="O31" i="1"/>
  <c r="J31" i="1"/>
  <c r="BW30" i="1"/>
  <c r="BR30" i="1"/>
  <c r="BM30" i="1"/>
  <c r="BH30" i="1"/>
  <c r="BC30" i="1"/>
  <c r="AX30" i="1"/>
  <c r="AS30" i="1"/>
  <c r="AN30" i="1"/>
  <c r="AI30" i="1"/>
  <c r="AD30" i="1"/>
  <c r="Y30" i="1"/>
  <c r="T30" i="1"/>
  <c r="O30" i="1"/>
  <c r="J30" i="1"/>
  <c r="BW29" i="1"/>
  <c r="BT33" i="1" s="1"/>
  <c r="BR29" i="1"/>
  <c r="BM29" i="1"/>
  <c r="BH29" i="1"/>
  <c r="BE33" i="1" s="1"/>
  <c r="BC29" i="1"/>
  <c r="AX29" i="1"/>
  <c r="AS29" i="1"/>
  <c r="AN29" i="1"/>
  <c r="AI29" i="1"/>
  <c r="AD29" i="1"/>
  <c r="Y29" i="1"/>
  <c r="T29" i="1"/>
  <c r="Q33" i="1" s="1"/>
  <c r="O29" i="1"/>
  <c r="J29" i="1"/>
  <c r="G33" i="1" s="1"/>
  <c r="BW28" i="1"/>
  <c r="BR28" i="1"/>
  <c r="BM28" i="1"/>
  <c r="BH28" i="1"/>
  <c r="BC28" i="1"/>
  <c r="AZ33" i="1" s="1"/>
  <c r="AX28" i="1"/>
  <c r="AS28" i="1"/>
  <c r="AN28" i="1"/>
  <c r="AI28" i="1"/>
  <c r="AD28" i="1"/>
  <c r="Y28" i="1"/>
  <c r="V33" i="1" s="1"/>
  <c r="T28" i="1"/>
  <c r="O28" i="1"/>
  <c r="J28" i="1"/>
  <c r="BW27" i="1"/>
  <c r="BR27" i="1"/>
  <c r="BO33" i="1" s="1"/>
  <c r="BM27" i="1"/>
  <c r="BH27" i="1"/>
  <c r="BC27" i="1"/>
  <c r="AX27" i="1"/>
  <c r="AS27" i="1"/>
  <c r="AP33" i="1" s="1"/>
  <c r="AN27" i="1"/>
  <c r="AI27" i="1"/>
  <c r="AD27" i="1"/>
  <c r="AA33" i="1" s="1"/>
  <c r="Y27" i="1"/>
  <c r="T27" i="1"/>
  <c r="O27" i="1"/>
  <c r="J27" i="1"/>
  <c r="BT25" i="1"/>
  <c r="BE25" i="1"/>
  <c r="AP25" i="1"/>
  <c r="BW24" i="1"/>
  <c r="BR24" i="1"/>
  <c r="BM24" i="1"/>
  <c r="BH24" i="1"/>
  <c r="BC24" i="1"/>
  <c r="AX24" i="1"/>
  <c r="AS24" i="1"/>
  <c r="AN24" i="1"/>
  <c r="AI24" i="1"/>
  <c r="AD24" i="1"/>
  <c r="Y24" i="1"/>
  <c r="T24" i="1"/>
  <c r="O24" i="1"/>
  <c r="J24" i="1"/>
  <c r="BW23" i="1"/>
  <c r="BR23" i="1"/>
  <c r="BM23" i="1"/>
  <c r="BH23" i="1"/>
  <c r="BC23" i="1"/>
  <c r="AX23" i="1"/>
  <c r="AS23" i="1"/>
  <c r="AN23" i="1"/>
  <c r="AI23" i="1"/>
  <c r="AD23" i="1"/>
  <c r="Y23" i="1"/>
  <c r="T23" i="1"/>
  <c r="O23" i="1"/>
  <c r="J23" i="1"/>
  <c r="BW22" i="1"/>
  <c r="BR22" i="1"/>
  <c r="BM22" i="1"/>
  <c r="BH22" i="1"/>
  <c r="BC22" i="1"/>
  <c r="AX22" i="1"/>
  <c r="AS22" i="1"/>
  <c r="AN22" i="1"/>
  <c r="AI22" i="1"/>
  <c r="AD22" i="1"/>
  <c r="Y22" i="1"/>
  <c r="T22" i="1"/>
  <c r="O22" i="1"/>
  <c r="J22" i="1"/>
  <c r="BW21" i="1"/>
  <c r="BR21" i="1"/>
  <c r="BM21" i="1"/>
  <c r="BJ25" i="1" s="1"/>
  <c r="BH21" i="1"/>
  <c r="BC21" i="1"/>
  <c r="AZ25" i="1" s="1"/>
  <c r="AX21" i="1"/>
  <c r="AS21" i="1"/>
  <c r="AN21" i="1"/>
  <c r="AI21" i="1"/>
  <c r="AD21" i="1"/>
  <c r="Y21" i="1"/>
  <c r="V25" i="1" s="1"/>
  <c r="T21" i="1"/>
  <c r="O21" i="1"/>
  <c r="L25" i="1" s="1"/>
  <c r="J21" i="1"/>
  <c r="G25" i="1" s="1"/>
  <c r="BW20" i="1"/>
  <c r="BR20" i="1"/>
  <c r="BM20" i="1"/>
  <c r="BH20" i="1"/>
  <c r="BC20" i="1"/>
  <c r="AX20" i="1"/>
  <c r="AS20" i="1"/>
  <c r="AN20" i="1"/>
  <c r="AI20" i="1"/>
  <c r="AD20" i="1"/>
  <c r="Y20" i="1"/>
  <c r="T20" i="1"/>
  <c r="O20" i="1"/>
  <c r="J20" i="1"/>
  <c r="BW19" i="1"/>
  <c r="BR19" i="1"/>
  <c r="BO25" i="1" s="1"/>
  <c r="BM19" i="1"/>
  <c r="BH19" i="1"/>
  <c r="BC19" i="1"/>
  <c r="AX19" i="1"/>
  <c r="AS19" i="1"/>
  <c r="AN19" i="1"/>
  <c r="AI19" i="1"/>
  <c r="AF25" i="1" s="1"/>
  <c r="AD19" i="1"/>
  <c r="AA25" i="1" s="1"/>
  <c r="Y19" i="1"/>
  <c r="T19" i="1"/>
  <c r="O19" i="1"/>
  <c r="J19" i="1"/>
  <c r="Q17" i="1"/>
  <c r="L17" i="1"/>
  <c r="BW16" i="1"/>
  <c r="BR16" i="1"/>
  <c r="BM16" i="1"/>
  <c r="BH16" i="1"/>
  <c r="BC16" i="1"/>
  <c r="AX16" i="1"/>
  <c r="AS16" i="1"/>
  <c r="AN16" i="1"/>
  <c r="AI16" i="1"/>
  <c r="AD16" i="1"/>
  <c r="Y16" i="1"/>
  <c r="T16" i="1"/>
  <c r="O16" i="1"/>
  <c r="J16" i="1"/>
  <c r="BW15" i="1"/>
  <c r="BR15" i="1"/>
  <c r="BM15" i="1"/>
  <c r="BH15" i="1"/>
  <c r="BC15" i="1"/>
  <c r="AX15" i="1"/>
  <c r="AS15" i="1"/>
  <c r="AN15" i="1"/>
  <c r="AI15" i="1"/>
  <c r="AD15" i="1"/>
  <c r="Y15" i="1"/>
  <c r="T15" i="1"/>
  <c r="O15" i="1"/>
  <c r="J15" i="1"/>
  <c r="BW14" i="1"/>
  <c r="BR14" i="1"/>
  <c r="BM14" i="1"/>
  <c r="BJ17" i="1" s="1"/>
  <c r="BH14" i="1"/>
  <c r="BC14" i="1"/>
  <c r="AX14" i="1"/>
  <c r="AS14" i="1"/>
  <c r="AN14" i="1"/>
  <c r="AI14" i="1"/>
  <c r="AD14" i="1"/>
  <c r="Y14" i="1"/>
  <c r="V17" i="1" s="1"/>
  <c r="T14" i="1"/>
  <c r="O14" i="1"/>
  <c r="J14" i="1"/>
  <c r="BW13" i="1"/>
  <c r="BR13" i="1"/>
  <c r="BM13" i="1"/>
  <c r="BH13" i="1"/>
  <c r="BC13" i="1"/>
  <c r="AX13" i="1"/>
  <c r="AS13" i="1"/>
  <c r="AN13" i="1"/>
  <c r="AI13" i="1"/>
  <c r="AD13" i="1"/>
  <c r="Y13" i="1"/>
  <c r="T13" i="1"/>
  <c r="O13" i="1"/>
  <c r="J13" i="1"/>
  <c r="BW12" i="1"/>
  <c r="BR12" i="1"/>
  <c r="BO17" i="1" s="1"/>
  <c r="BM12" i="1"/>
  <c r="BH12" i="1"/>
  <c r="BC12" i="1"/>
  <c r="AX12" i="1"/>
  <c r="AS12" i="1"/>
  <c r="AP17" i="1" s="1"/>
  <c r="AN12" i="1"/>
  <c r="AI12" i="1"/>
  <c r="AD12" i="1"/>
  <c r="AA17" i="1" s="1"/>
  <c r="Y12" i="1"/>
  <c r="T12" i="1"/>
  <c r="O12" i="1"/>
  <c r="J12" i="1"/>
  <c r="BW11" i="1"/>
  <c r="BT17" i="1" s="1"/>
  <c r="BR11" i="1"/>
  <c r="BM11" i="1"/>
  <c r="BH11" i="1"/>
  <c r="BE17" i="1" s="1"/>
  <c r="BC11" i="1"/>
  <c r="AX11" i="1"/>
  <c r="AS11" i="1"/>
  <c r="AN11" i="1"/>
  <c r="AK17" i="1" s="1"/>
  <c r="AI11" i="1"/>
  <c r="AF17" i="1" s="1"/>
  <c r="AD11" i="1"/>
  <c r="Y11" i="1"/>
  <c r="T11" i="1"/>
  <c r="O11" i="1"/>
  <c r="J11" i="1"/>
  <c r="BW8" i="1"/>
  <c r="BR8" i="1"/>
  <c r="BM8" i="1"/>
  <c r="BH8" i="1"/>
  <c r="BC8" i="1"/>
  <c r="AX8" i="1"/>
  <c r="AS8" i="1"/>
  <c r="AN8" i="1"/>
  <c r="AI8" i="1"/>
  <c r="AD8" i="1"/>
  <c r="Y8" i="1"/>
  <c r="T8" i="1"/>
  <c r="O8" i="1"/>
  <c r="J8" i="1"/>
  <c r="BW7" i="1"/>
  <c r="BR7" i="1"/>
  <c r="BM7" i="1"/>
  <c r="BH7" i="1"/>
  <c r="BC7" i="1"/>
  <c r="AX7" i="1"/>
  <c r="AS7" i="1"/>
  <c r="AN7" i="1"/>
  <c r="AI7" i="1"/>
  <c r="AD7" i="1"/>
  <c r="Y7" i="1"/>
  <c r="T7" i="1"/>
  <c r="O7" i="1"/>
  <c r="J7" i="1"/>
  <c r="BW6" i="1"/>
  <c r="BR6" i="1"/>
  <c r="BM6" i="1"/>
  <c r="BJ9" i="1" s="1"/>
  <c r="BH6" i="1"/>
  <c r="BC6" i="1"/>
  <c r="AX6" i="1"/>
  <c r="AS6" i="1"/>
  <c r="AN6" i="1"/>
  <c r="AI6" i="1"/>
  <c r="AD6" i="1"/>
  <c r="Y6" i="1"/>
  <c r="V9" i="1" s="1"/>
  <c r="T6" i="1"/>
  <c r="O6" i="1"/>
  <c r="J6" i="1"/>
  <c r="BW5" i="1"/>
  <c r="BR5" i="1"/>
  <c r="BM5" i="1"/>
  <c r="BH5" i="1"/>
  <c r="BC5" i="1"/>
  <c r="AZ9" i="1" s="1"/>
  <c r="AX5" i="1"/>
  <c r="AS5" i="1"/>
  <c r="AN5" i="1"/>
  <c r="AI5" i="1"/>
  <c r="AD5" i="1"/>
  <c r="Y5" i="1"/>
  <c r="T5" i="1"/>
  <c r="O5" i="1"/>
  <c r="L9" i="1" s="1"/>
  <c r="J5" i="1"/>
  <c r="BW4" i="1"/>
  <c r="BR4" i="1"/>
  <c r="BM4" i="1"/>
  <c r="BH4" i="1"/>
  <c r="BC4" i="1"/>
  <c r="AX4" i="1"/>
  <c r="AS4" i="1"/>
  <c r="AP9" i="1" s="1"/>
  <c r="AN4" i="1"/>
  <c r="AI4" i="1"/>
  <c r="AD4" i="1"/>
  <c r="Y4" i="1"/>
  <c r="T4" i="1"/>
  <c r="O4" i="1"/>
  <c r="J4" i="1"/>
  <c r="BW3" i="1"/>
  <c r="BT9" i="1" s="1"/>
  <c r="BR3" i="1"/>
  <c r="BM3" i="1"/>
  <c r="BH3" i="1"/>
  <c r="BC3" i="1"/>
  <c r="AX3" i="1"/>
  <c r="AS3" i="1"/>
  <c r="AN3" i="1"/>
  <c r="AK9" i="1" s="1"/>
  <c r="AI3" i="1"/>
  <c r="AF9" i="1" s="1"/>
  <c r="AD3" i="1"/>
  <c r="Y3" i="1"/>
  <c r="T3" i="1"/>
  <c r="O3" i="1"/>
  <c r="J3" i="1"/>
  <c r="G9" i="1" s="1"/>
  <c r="BR1" i="1"/>
  <c r="BM1" i="1"/>
  <c r="BH1" i="1"/>
  <c r="AD1" i="1" s="1"/>
  <c r="BC1" i="1"/>
  <c r="Y1" i="1" s="1"/>
  <c r="AX1" i="1"/>
  <c r="AS1" i="1"/>
  <c r="AN1" i="1"/>
  <c r="AI1" i="1"/>
  <c r="T1" i="1"/>
  <c r="O1" i="1"/>
  <c r="J1" i="1"/>
  <c r="AF9" i="2" l="1"/>
  <c r="DH9" i="2"/>
  <c r="CD9" i="2"/>
  <c r="DR9" i="2"/>
  <c r="L9" i="2"/>
  <c r="AZ9" i="2"/>
  <c r="CN9" i="2"/>
  <c r="EV9" i="2"/>
  <c r="EB9" i="2"/>
  <c r="V9" i="2"/>
  <c r="EL9" i="2"/>
  <c r="BJ9" i="2"/>
  <c r="AK9" i="2"/>
  <c r="BY9" i="2"/>
  <c r="DM9" i="2"/>
  <c r="BT9" i="2"/>
  <c r="BE9" i="2"/>
  <c r="BO9" i="2"/>
  <c r="EQ9" i="2"/>
  <c r="CX9" i="2"/>
  <c r="AP9" i="2"/>
  <c r="DH41" i="2"/>
  <c r="DM81" i="2"/>
  <c r="L33" i="1"/>
  <c r="L67" i="1" s="1"/>
  <c r="BJ57" i="1"/>
  <c r="G9" i="2"/>
  <c r="DW9" i="2"/>
  <c r="Q25" i="2"/>
  <c r="BO65" i="1"/>
  <c r="L25" i="2"/>
  <c r="EB25" i="2"/>
  <c r="AA9" i="1"/>
  <c r="AA67" i="1" s="1"/>
  <c r="BO9" i="1"/>
  <c r="BO67" i="1" s="1"/>
  <c r="AU25" i="1"/>
  <c r="Q25" i="1"/>
  <c r="AF33" i="1"/>
  <c r="AF67" i="1" s="1"/>
  <c r="V41" i="1"/>
  <c r="V67" i="1" s="1"/>
  <c r="BJ41" i="1"/>
  <c r="AP57" i="1"/>
  <c r="AZ33" i="2"/>
  <c r="EB33" i="2"/>
  <c r="EB99" i="2" s="1"/>
  <c r="EE97" i="2" s="1"/>
  <c r="BT49" i="2"/>
  <c r="EV49" i="2"/>
  <c r="BE57" i="2"/>
  <c r="CS57" i="2"/>
  <c r="Q65" i="2"/>
  <c r="BE65" i="2"/>
  <c r="CS65" i="2"/>
  <c r="EG65" i="2"/>
  <c r="AF89" i="2"/>
  <c r="DH89" i="2"/>
  <c r="AZ73" i="2"/>
  <c r="EB73" i="2"/>
  <c r="BJ73" i="2"/>
  <c r="AF73" i="2"/>
  <c r="CI81" i="2"/>
  <c r="BE81" i="2"/>
  <c r="EG81" i="2"/>
  <c r="L41" i="2"/>
  <c r="CN41" i="2"/>
  <c r="EB41" i="2"/>
  <c r="BT57" i="2"/>
  <c r="EV57" i="2"/>
  <c r="CD57" i="2"/>
  <c r="L57" i="2"/>
  <c r="AZ57" i="2"/>
  <c r="EL73" i="2"/>
  <c r="DR97" i="2"/>
  <c r="DR99" i="2" s="1"/>
  <c r="DU97" i="2" s="1"/>
  <c r="AF33" i="2"/>
  <c r="EG41" i="2"/>
  <c r="BO41" i="2"/>
  <c r="EQ41" i="2"/>
  <c r="AZ49" i="2"/>
  <c r="CN49" i="2"/>
  <c r="V81" i="2"/>
  <c r="CX81" i="2"/>
  <c r="DH81" i="2"/>
  <c r="AZ89" i="2"/>
  <c r="CN89" i="2"/>
  <c r="AU9" i="2"/>
  <c r="BT33" i="2"/>
  <c r="Q65" i="1"/>
  <c r="BE17" i="2"/>
  <c r="DR25" i="2"/>
  <c r="CX41" i="2"/>
  <c r="EV73" i="2"/>
  <c r="EB97" i="2"/>
  <c r="AU9" i="1"/>
  <c r="AF49" i="1"/>
  <c r="CI9" i="2"/>
  <c r="BY25" i="2"/>
  <c r="CI25" i="2"/>
  <c r="AZ17" i="1"/>
  <c r="AZ67" i="1" s="1"/>
  <c r="BE65" i="1"/>
  <c r="G17" i="2"/>
  <c r="DW17" i="2"/>
  <c r="CS17" i="2"/>
  <c r="AP25" i="2"/>
  <c r="V41" i="2"/>
  <c r="Q9" i="1"/>
  <c r="BE9" i="1"/>
  <c r="G17" i="1"/>
  <c r="G67" i="1" s="1"/>
  <c r="AU17" i="1"/>
  <c r="BJ33" i="1"/>
  <c r="BJ67" i="1" s="1"/>
  <c r="L41" i="1"/>
  <c r="AP49" i="1"/>
  <c r="AP67" i="1" s="1"/>
  <c r="BT57" i="1"/>
  <c r="BT67" i="1" s="1"/>
  <c r="Q9" i="2"/>
  <c r="CS9" i="2"/>
  <c r="EG9" i="2"/>
  <c r="AA9" i="2"/>
  <c r="DC9" i="2"/>
  <c r="AP33" i="2"/>
  <c r="DR33" i="2"/>
  <c r="BJ49" i="2"/>
  <c r="EL49" i="2"/>
  <c r="AU65" i="2"/>
  <c r="DW65" i="2"/>
  <c r="AK73" i="2"/>
  <c r="BY73" i="2"/>
  <c r="BJ89" i="2"/>
  <c r="EL89" i="2"/>
  <c r="BE97" i="2"/>
  <c r="G49" i="1"/>
  <c r="AU49" i="1"/>
  <c r="Q33" i="2"/>
  <c r="BE33" i="2"/>
  <c r="CS33" i="2"/>
  <c r="EG33" i="2"/>
  <c r="AK49" i="2"/>
  <c r="BY49" i="2"/>
  <c r="DM49" i="2"/>
  <c r="Q41" i="1"/>
  <c r="BE41" i="1"/>
  <c r="AK25" i="1"/>
  <c r="AK67" i="1" s="1"/>
  <c r="AA57" i="2"/>
  <c r="BO57" i="2"/>
  <c r="DC57" i="2"/>
  <c r="EQ57" i="2"/>
  <c r="G73" i="2"/>
  <c r="AU73" i="2"/>
  <c r="CI73" i="2"/>
  <c r="DW73" i="2"/>
  <c r="AF97" i="2"/>
  <c r="BT97" i="2"/>
  <c r="DH97" i="2"/>
  <c r="DH99" i="2" s="1"/>
  <c r="DK97" i="2" s="1"/>
  <c r="EV97" i="2"/>
  <c r="AK57" i="1"/>
  <c r="B109" i="2" a="1"/>
  <c r="B109" i="2" s="1"/>
  <c r="E109" i="2" s="1"/>
  <c r="AA89" i="2"/>
  <c r="BO89" i="2"/>
  <c r="DC89" i="2"/>
  <c r="EQ89" i="2"/>
  <c r="AZ99" i="2" l="1"/>
  <c r="BO99" i="2"/>
  <c r="BR97" i="2" s="1"/>
  <c r="V99" i="2"/>
  <c r="Y97" i="2" s="1"/>
  <c r="BT99" i="2"/>
  <c r="AF99" i="2"/>
  <c r="AI97" i="2" s="1"/>
  <c r="EL99" i="2"/>
  <c r="EO97" i="2" s="1"/>
  <c r="CD99" i="2"/>
  <c r="CG97" i="2" s="1"/>
  <c r="DM99" i="2"/>
  <c r="DP97" i="2" s="1"/>
  <c r="CN99" i="2"/>
  <c r="CQ97" i="2" s="1"/>
  <c r="BJ99" i="2"/>
  <c r="BM97" i="2" s="1"/>
  <c r="BY99" i="2"/>
  <c r="CB97" i="2" s="1"/>
  <c r="BE99" i="2"/>
  <c r="BH97" i="2" s="1"/>
  <c r="EV99" i="2"/>
  <c r="EY97" i="2" s="1"/>
  <c r="L99" i="2"/>
  <c r="O97" i="2" s="1"/>
  <c r="AK99" i="2"/>
  <c r="AN97" i="2" s="1"/>
  <c r="CX99" i="2"/>
  <c r="DA97" i="2" s="1"/>
  <c r="EQ99" i="2"/>
  <c r="ET97" i="2" s="1"/>
  <c r="AP99" i="2"/>
  <c r="AS97" i="2" s="1"/>
  <c r="B107" i="2" a="1"/>
  <c r="B107" i="2" s="1"/>
  <c r="E107" i="2" s="1"/>
  <c r="Y65" i="1"/>
  <c r="B81" i="1"/>
  <c r="AI65" i="1"/>
  <c r="B79" i="1"/>
  <c r="B108" i="2" a="1"/>
  <c r="B108" i="2" s="1"/>
  <c r="BC65" i="1"/>
  <c r="B75" i="1"/>
  <c r="B115" i="2" a="1"/>
  <c r="B115" i="2" s="1"/>
  <c r="E115" i="2" s="1"/>
  <c r="B112" i="2" a="1"/>
  <c r="B112" i="2" s="1"/>
  <c r="E112" i="2" s="1"/>
  <c r="B83" i="1"/>
  <c r="O65" i="1"/>
  <c r="B71" i="1"/>
  <c r="BW65" i="1"/>
  <c r="AS65" i="1"/>
  <c r="B77" i="1"/>
  <c r="E77" i="1" s="1"/>
  <c r="BW97" i="2"/>
  <c r="B111" i="2" a="1"/>
  <c r="B111" i="2" s="1"/>
  <c r="E111" i="2" s="1"/>
  <c r="BC97" i="2"/>
  <c r="B116" i="2" a="1"/>
  <c r="B116" i="2" s="1"/>
  <c r="E116" i="2" s="1"/>
  <c r="B73" i="1"/>
  <c r="BM65" i="1"/>
  <c r="B114" i="2" a="1"/>
  <c r="B114" i="2" s="1"/>
  <c r="E114" i="2" s="1"/>
  <c r="AN65" i="1"/>
  <c r="B78" i="1"/>
  <c r="J65" i="1"/>
  <c r="B84" i="1"/>
  <c r="CI99" i="2"/>
  <c r="CL97" i="2" s="1"/>
  <c r="B72" i="1"/>
  <c r="BR65" i="1"/>
  <c r="EG99" i="2"/>
  <c r="EJ97" i="2" s="1"/>
  <c r="CS99" i="2"/>
  <c r="CV97" i="2" s="1"/>
  <c r="BE67" i="1"/>
  <c r="AU99" i="2"/>
  <c r="Q99" i="2"/>
  <c r="Q67" i="1"/>
  <c r="DC99" i="2"/>
  <c r="DF97" i="2" s="1"/>
  <c r="B80" i="1"/>
  <c r="AD65" i="1"/>
  <c r="DW99" i="2"/>
  <c r="DZ97" i="2" s="1"/>
  <c r="AA99" i="2"/>
  <c r="AU67" i="1"/>
  <c r="G99" i="2"/>
  <c r="B105" i="2" l="1" a="1"/>
  <c r="B105" i="2" s="1"/>
  <c r="B106" i="2" a="1"/>
  <c r="B106" i="2" s="1"/>
  <c r="E106" i="2" s="1"/>
  <c r="B104" i="2" a="1"/>
  <c r="B104" i="2" s="1"/>
  <c r="E104" i="2" s="1"/>
  <c r="AD97" i="2"/>
  <c r="B74" i="1"/>
  <c r="BH65" i="1"/>
  <c r="B82" i="1"/>
  <c r="T65" i="1"/>
  <c r="B110" i="2" a="1"/>
  <c r="B110" i="2" s="1"/>
  <c r="J97" i="2"/>
  <c r="T97" i="2"/>
  <c r="B113" i="2" a="1"/>
  <c r="B113" i="2" s="1"/>
  <c r="B76" i="1"/>
  <c r="E76" i="1" s="1"/>
  <c r="AX65" i="1"/>
  <c r="AX97" i="2"/>
  <c r="B103" i="2" a="1"/>
  <c r="B103" i="2" s="1"/>
  <c r="E103" i="2" s="1"/>
  <c r="E108" i="2" l="1"/>
  <c r="E113" i="2"/>
  <c r="E105" i="2"/>
  <c r="E110" i="2"/>
  <c r="E83" i="1"/>
  <c r="E79" i="1"/>
  <c r="E71" i="1"/>
  <c r="E75" i="1"/>
  <c r="E80" i="1"/>
  <c r="E73" i="1"/>
  <c r="E78" i="1"/>
  <c r="E84" i="1"/>
  <c r="E81" i="1"/>
  <c r="E72" i="1"/>
  <c r="E74" i="1"/>
  <c r="E82" i="1"/>
</calcChain>
</file>

<file path=xl/sharedStrings.xml><?xml version="1.0" encoding="utf-8"?>
<sst xmlns="http://schemas.openxmlformats.org/spreadsheetml/2006/main" count="3320" uniqueCount="126">
  <si>
    <t>Janaina</t>
  </si>
  <si>
    <t>Christiano</t>
  </si>
  <si>
    <t>Matheus III</t>
  </si>
  <si>
    <t>Fabiola</t>
  </si>
  <si>
    <t>Ary</t>
  </si>
  <si>
    <t>Evelyn</t>
  </si>
  <si>
    <t>Dr. Rhenan</t>
  </si>
  <si>
    <t>-</t>
  </si>
  <si>
    <t>André</t>
  </si>
  <si>
    <t>Ramon</t>
  </si>
  <si>
    <t>Generico</t>
  </si>
  <si>
    <t>Matheus</t>
  </si>
  <si>
    <t>Mauricio</t>
  </si>
  <si>
    <t>Luiz</t>
  </si>
  <si>
    <t>Pts.</t>
  </si>
  <si>
    <t>GRUPO A</t>
  </si>
  <si>
    <t>AL AHLY</t>
  </si>
  <si>
    <t>X</t>
  </si>
  <si>
    <t>INTER MIAMI</t>
  </si>
  <si>
    <t>PALMEIRAS</t>
  </si>
  <si>
    <t>PORTO</t>
  </si>
  <si>
    <t>GRUPO B</t>
  </si>
  <si>
    <t>PSG</t>
  </si>
  <si>
    <t>ATL. MADRID</t>
  </si>
  <si>
    <t>BOTAFOGO</t>
  </si>
  <si>
    <t>SEATTLE</t>
  </si>
  <si>
    <t>GRUPO C</t>
  </si>
  <si>
    <t>BAYERN</t>
  </si>
  <si>
    <t>AUCKLAND</t>
  </si>
  <si>
    <t>BOCA JRS</t>
  </si>
  <si>
    <t>BENFICA</t>
  </si>
  <si>
    <t>GRUPO D</t>
  </si>
  <si>
    <t>CHELSEA</t>
  </si>
  <si>
    <t>LOS ANGELES</t>
  </si>
  <si>
    <t>FLAMENGO</t>
  </si>
  <si>
    <t>ESPÉRANCE</t>
  </si>
  <si>
    <t>GRUPO E</t>
  </si>
  <si>
    <t>RIVER PLATE</t>
  </si>
  <si>
    <t>URAWA REDS</t>
  </si>
  <si>
    <t>MONTERREY</t>
  </si>
  <si>
    <t>INTER MILAO</t>
  </si>
  <si>
    <t>GRUPO F</t>
  </si>
  <si>
    <t>FLUMINENSE</t>
  </si>
  <si>
    <t>BORUSSIA</t>
  </si>
  <si>
    <t>ULSAN</t>
  </si>
  <si>
    <t>MAMELODI</t>
  </si>
  <si>
    <t>GRUPO G</t>
  </si>
  <si>
    <t>MAN. CITY</t>
  </si>
  <si>
    <t>WYDAD</t>
  </si>
  <si>
    <t>AL-AIN</t>
  </si>
  <si>
    <t>JUVENTUS</t>
  </si>
  <si>
    <t>GRUPO H</t>
  </si>
  <si>
    <t>REAL MADRID</t>
  </si>
  <si>
    <t>AL-HILAL</t>
  </si>
  <si>
    <t>PACHUCA</t>
  </si>
  <si>
    <t>RB SALZBURG</t>
  </si>
  <si>
    <t>TOTAL DE CADA PARTICIPANTE</t>
  </si>
  <si>
    <t>RANKING</t>
  </si>
  <si>
    <t>FORMAS DE PONTUAÇÃO</t>
  </si>
  <si>
    <t>Nome</t>
  </si>
  <si>
    <t>Pontos</t>
  </si>
  <si>
    <t>Colocação</t>
  </si>
  <si>
    <t>PLACAR CORRETO</t>
  </si>
  <si>
    <t>10 Pts.</t>
  </si>
  <si>
    <t>VENCEDOR E O Nº DE GOLS DE ALGUM TIME</t>
  </si>
  <si>
    <t>07 Pts.</t>
  </si>
  <si>
    <t>VENCEDOR OU EMPATE COM PLACAR ERRADO</t>
  </si>
  <si>
    <t>05 Pts.</t>
  </si>
  <si>
    <t>APENAS O GOL DE ALGUMA DAS PARTES</t>
  </si>
  <si>
    <t>02 Pts.</t>
  </si>
  <si>
    <t>Genérico</t>
  </si>
  <si>
    <t>PLACAR ERRADO</t>
  </si>
  <si>
    <t>00 Pts.</t>
  </si>
  <si>
    <t>Neide</t>
  </si>
  <si>
    <t>MEXICO</t>
  </si>
  <si>
    <t>AFRICA DO SUL</t>
  </si>
  <si>
    <t>COREIA DO SUL</t>
  </si>
  <si>
    <t>TCHEQUIA/IRLANDA/DINAMARCA/MACEDONIA</t>
  </si>
  <si>
    <t>CANADA</t>
  </si>
  <si>
    <t>ITALIA/IRLANDA NORTE/GALES/BOSNIA</t>
  </si>
  <si>
    <t>CATAR</t>
  </si>
  <si>
    <t>SUIÇA</t>
  </si>
  <si>
    <t>BRASIL</t>
  </si>
  <si>
    <t>MARROCOS</t>
  </si>
  <si>
    <t>HAITI</t>
  </si>
  <si>
    <t>ESCOCIA</t>
  </si>
  <si>
    <t>EUA</t>
  </si>
  <si>
    <t>PARAGUAI</t>
  </si>
  <si>
    <t>AUSTRALIA</t>
  </si>
  <si>
    <t>TURQUIA/ROMENIA/ESLOVAQUIA/KOSOVO</t>
  </si>
  <si>
    <t>ALEMANHA</t>
  </si>
  <si>
    <t>CURAÇAO</t>
  </si>
  <si>
    <t>COSTA DO MARFIM</t>
  </si>
  <si>
    <t>EQUADOR</t>
  </si>
  <si>
    <t>HOLANDA</t>
  </si>
  <si>
    <t>JAPAO</t>
  </si>
  <si>
    <t>UCRANIA/SUECIA/POLONIA/ALBANIA</t>
  </si>
  <si>
    <t>TUNISIA</t>
  </si>
  <si>
    <t>BELGICA</t>
  </si>
  <si>
    <t>EGITO</t>
  </si>
  <si>
    <t>IRÃ</t>
  </si>
  <si>
    <t>NOVA ZELANDIA</t>
  </si>
  <si>
    <t>ESPANHA</t>
  </si>
  <si>
    <t>CABO VERDE</t>
  </si>
  <si>
    <t>ARABIA SAUDITA</t>
  </si>
  <si>
    <t>URUGUAI</t>
  </si>
  <si>
    <t>GRUPO I</t>
  </si>
  <si>
    <t>FRANÇA</t>
  </si>
  <si>
    <t>SENEGAL</t>
  </si>
  <si>
    <t>BOLIVIA/SURINAME/IRAQUE</t>
  </si>
  <si>
    <t>NORUEGA</t>
  </si>
  <si>
    <t>GRUPO J</t>
  </si>
  <si>
    <t>ARGENTINA</t>
  </si>
  <si>
    <t>ARGELIA</t>
  </si>
  <si>
    <t>AUSTRIA</t>
  </si>
  <si>
    <t>JORDANIA</t>
  </si>
  <si>
    <t>GRUPO K</t>
  </si>
  <si>
    <t>PORTUGAL</t>
  </si>
  <si>
    <t>RD CONGO/JAMAICA/NOVA CALEDONIA</t>
  </si>
  <si>
    <t>UZBEQUISTÃO</t>
  </si>
  <si>
    <t>COLOMBIA</t>
  </si>
  <si>
    <t>GRUPO L</t>
  </si>
  <si>
    <t>INGLATERRA</t>
  </si>
  <si>
    <t>CROACIA</t>
  </si>
  <si>
    <t>GANA</t>
  </si>
  <si>
    <t>PANAMA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</si>
</sst>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b/>
      <sz val="14"/>
      <color rgb="FF0000FF"/>
      <name val="Arial"/>
    </font>
    <font>
      <sz val="12"/>
      <color theme="1"/>
      <name val="Arial"/>
    </font>
    <font>
      <b/>
      <sz val="14"/>
      <color theme="1"/>
      <name val="Arial"/>
    </font>
    <font>
      <sz val="11"/>
      <name val="Calibri"/>
    </font>
    <font>
      <b/>
      <sz val="12"/>
      <color rgb="FFFF0000"/>
      <name val="Arial"/>
    </font>
    <font>
      <sz val="12"/>
      <color rgb="FF0000FF"/>
      <name val="Arial"/>
    </font>
    <font>
      <b/>
      <sz val="12"/>
      <color theme="1"/>
      <name val="Arial"/>
    </font>
    <font>
      <sz val="14"/>
      <color theme="1"/>
      <name val="Arial"/>
    </font>
    <font>
      <sz val="14"/>
      <color rgb="FF0000FF"/>
      <name val="Arial"/>
    </font>
    <font>
      <b/>
      <sz val="14"/>
      <color rgb="FFFF0000"/>
      <name val="Arial"/>
    </font>
    <font>
      <sz val="11"/>
      <color theme="1"/>
      <name val="Arial"/>
    </font>
    <font>
      <sz val="11"/>
      <color theme="1"/>
      <name val="Calibri"/>
    </font>
    <font>
      <u/>
      <sz val="12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999999"/>
        <bgColor rgb="FF999999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EDEDE"/>
        <bgColor rgb="FFDEDEDE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A2E8F1"/>
        <bgColor rgb="FFA2E8F1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  <fill>
      <patternFill patternType="solid">
        <fgColor rgb="FFAFE9CA"/>
        <bgColor rgb="FFAFE9CA"/>
      </patternFill>
    </fill>
    <fill>
      <patternFill patternType="solid">
        <fgColor rgb="FFF7CB4D"/>
        <bgColor rgb="FFF7CB4D"/>
      </patternFill>
    </fill>
    <fill>
      <patternFill patternType="solid">
        <fgColor rgb="FFFEF8E3"/>
        <bgColor rgb="FFFEF8E3"/>
      </patternFill>
    </fill>
    <fill>
      <patternFill patternType="solid">
        <fgColor rgb="FFFCE8B2"/>
        <bgColor rgb="FFFCE8B2"/>
      </patternFill>
    </fill>
    <fill>
      <patternFill patternType="solid">
        <fgColor rgb="FFF46524"/>
        <bgColor rgb="FFF46524"/>
      </patternFill>
    </fill>
    <fill>
      <patternFill patternType="solid">
        <fgColor rgb="FFFFE6DD"/>
        <bgColor rgb="FFFFE6DD"/>
      </patternFill>
    </fill>
    <fill>
      <patternFill patternType="solid">
        <fgColor rgb="FFFFCCBC"/>
        <bgColor rgb="FFFFCCBC"/>
      </patternFill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  <fill>
      <patternFill patternType="solid">
        <fgColor rgb="FFACC9FE"/>
        <bgColor rgb="FFACC9FE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  <fill>
      <patternFill patternType="solid">
        <fgColor rgb="FF8CD3CD"/>
        <bgColor rgb="FF8CD3CD"/>
      </patternFill>
    </fill>
    <fill>
      <patternFill patternType="solid">
        <fgColor rgb="FF8989EB"/>
        <bgColor rgb="FF8989EB"/>
      </patternFill>
    </fill>
    <fill>
      <patternFill patternType="solid">
        <fgColor rgb="FFE8E7FC"/>
        <bgColor rgb="FFE8E7FC"/>
      </patternFill>
    </fill>
    <fill>
      <patternFill patternType="solid">
        <fgColor rgb="FFC4C3F7"/>
        <bgColor rgb="FFC4C3F7"/>
      </patternFill>
    </fill>
    <fill>
      <patternFill patternType="solid">
        <fgColor rgb="FFFFFF00"/>
        <bgColor rgb="FFFFFF00"/>
      </patternFill>
    </fill>
    <fill>
      <patternFill patternType="solid">
        <fgColor rgb="FF78909C"/>
        <bgColor rgb="FF78909C"/>
      </patternFill>
    </fill>
    <fill>
      <patternFill patternType="solid">
        <fgColor rgb="FFEBEFF1"/>
        <bgColor rgb="FFEBEFF1"/>
      </patternFill>
    </fill>
    <fill>
      <patternFill patternType="solid">
        <fgColor rgb="FFBBC8CE"/>
        <bgColor rgb="FFBBC8CE"/>
      </patternFill>
    </fill>
    <fill>
      <patternFill patternType="solid">
        <fgColor rgb="FFCCA677"/>
        <bgColor rgb="FFCCA677"/>
      </patternFill>
    </fill>
    <fill>
      <patternFill patternType="solid">
        <fgColor rgb="FFF8F2EB"/>
        <bgColor rgb="FFF8F2EB"/>
      </patternFill>
    </fill>
    <fill>
      <patternFill patternType="solid">
        <fgColor rgb="FFE6D3BA"/>
        <bgColor rgb="FFE6D3BA"/>
      </patternFill>
    </fill>
    <fill>
      <patternFill patternType="solid">
        <fgColor rgb="FF8BC34A"/>
        <bgColor rgb="FF8BC34A"/>
      </patternFill>
    </fill>
    <fill>
      <patternFill patternType="solid">
        <fgColor rgb="FFEEF7E3"/>
        <bgColor rgb="FFEEF7E3"/>
      </patternFill>
    </fill>
    <fill>
      <patternFill patternType="solid">
        <fgColor rgb="FFC4E2A0"/>
        <bgColor rgb="FFC4E2A0"/>
      </patternFill>
    </fill>
  </fills>
  <borders count="2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BDBDBD"/>
      </right>
      <top/>
      <bottom/>
      <diagonal/>
    </border>
    <border>
      <left style="thin">
        <color rgb="FFBDBDBD"/>
      </left>
      <right/>
      <top/>
      <bottom/>
      <diagonal/>
    </border>
    <border>
      <left/>
      <right style="thin">
        <color rgb="FF4DD0E1"/>
      </right>
      <top/>
      <bottom/>
      <diagonal/>
    </border>
    <border>
      <left style="thin">
        <color rgb="FF4DD0E1"/>
      </left>
      <right style="thin">
        <color rgb="FF4DD0E1"/>
      </right>
      <top/>
      <bottom/>
      <diagonal/>
    </border>
    <border>
      <left/>
      <right style="thin">
        <color rgb="FF63D297"/>
      </right>
      <top/>
      <bottom/>
      <diagonal/>
    </border>
    <border>
      <left style="thin">
        <color rgb="FF63D297"/>
      </left>
      <right style="thin">
        <color rgb="FF63D297"/>
      </right>
      <top/>
      <bottom/>
      <diagonal/>
    </border>
    <border>
      <left/>
      <right style="thin">
        <color rgb="FFF7CB4D"/>
      </right>
      <top/>
      <bottom/>
      <diagonal/>
    </border>
    <border>
      <left style="thin">
        <color rgb="FFF7CB4D"/>
      </left>
      <right style="thin">
        <color rgb="FFF7CB4D"/>
      </right>
      <top/>
      <bottom/>
      <diagonal/>
    </border>
    <border>
      <left/>
      <right style="thin">
        <color rgb="FFF46524"/>
      </right>
      <top/>
      <bottom/>
      <diagonal/>
    </border>
    <border>
      <left style="thin">
        <color rgb="FFF46524"/>
      </left>
      <right style="thin">
        <color rgb="FFF46524"/>
      </right>
      <top/>
      <bottom/>
      <diagonal/>
    </border>
    <border>
      <left/>
      <right style="thin">
        <color rgb="FF5B95F9"/>
      </right>
      <top/>
      <bottom/>
      <diagonal/>
    </border>
    <border>
      <left style="thin">
        <color rgb="FF5B95F9"/>
      </left>
      <right style="thin">
        <color rgb="FF5B95F9"/>
      </right>
      <top/>
      <bottom/>
      <diagonal/>
    </border>
    <border>
      <left/>
      <right style="thin">
        <color rgb="FF26A69A"/>
      </right>
      <top/>
      <bottom/>
      <diagonal/>
    </border>
    <border>
      <left style="thin">
        <color rgb="FF26A69A"/>
      </left>
      <right style="thin">
        <color rgb="FF26A69A"/>
      </right>
      <top/>
      <bottom/>
      <diagonal/>
    </border>
    <border>
      <left/>
      <right style="thin">
        <color rgb="FF8989EB"/>
      </right>
      <top/>
      <bottom/>
      <diagonal/>
    </border>
    <border>
      <left style="thin">
        <color rgb="FF8989EB"/>
      </left>
      <right style="thin">
        <color rgb="FF8989EB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FFFF00"/>
      </right>
      <top/>
      <bottom/>
      <diagonal/>
    </border>
    <border>
      <left style="thin">
        <color rgb="FFFFFF00"/>
      </left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344">
    <xf numFmtId="0" fontId="0" fillId="0" borderId="0" xfId="0" applyFont="1" applyAlignment="1"/>
    <xf numFmtId="0" fontId="2" fillId="3" borderId="1" xfId="0" applyFont="1" applyFill="1" applyBorder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0" xfId="0" applyFont="1"/>
    <xf numFmtId="0" fontId="3" fillId="4" borderId="0" xfId="0" applyFont="1" applyFill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7" fillId="11" borderId="6" xfId="0" applyFont="1" applyFill="1" applyBorder="1" applyAlignment="1">
      <alignment horizontal="center"/>
    </xf>
    <xf numFmtId="0" fontId="7" fillId="11" borderId="7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6" fillId="12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6" fillId="13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2" fillId="14" borderId="8" xfId="0" applyFont="1" applyFill="1" applyBorder="1" applyAlignment="1">
      <alignment horizontal="center"/>
    </xf>
    <xf numFmtId="0" fontId="2" fillId="14" borderId="9" xfId="0" applyFont="1" applyFill="1" applyBorder="1" applyAlignment="1">
      <alignment horizontal="center"/>
    </xf>
    <xf numFmtId="0" fontId="2" fillId="14" borderId="0" xfId="0" applyFont="1" applyFill="1" applyAlignment="1">
      <alignment horizontal="center"/>
    </xf>
    <xf numFmtId="0" fontId="7" fillId="14" borderId="8" xfId="0" applyFont="1" applyFill="1" applyBorder="1" applyAlignment="1">
      <alignment horizontal="center"/>
    </xf>
    <xf numFmtId="0" fontId="7" fillId="14" borderId="9" xfId="0" applyFont="1" applyFill="1" applyBorder="1" applyAlignment="1">
      <alignment horizontal="center"/>
    </xf>
    <xf numFmtId="0" fontId="2" fillId="14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5" fillId="15" borderId="0" xfId="0" applyFont="1" applyFill="1" applyAlignment="1">
      <alignment horizontal="center"/>
    </xf>
    <xf numFmtId="0" fontId="6" fillId="15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16" borderId="0" xfId="0" applyFont="1" applyFill="1" applyAlignment="1">
      <alignment horizontal="center"/>
    </xf>
    <xf numFmtId="0" fontId="6" fillId="16" borderId="0" xfId="0" applyFont="1" applyFill="1" applyAlignment="1">
      <alignment horizontal="center"/>
    </xf>
    <xf numFmtId="0" fontId="7" fillId="3" borderId="1" xfId="0" applyFont="1" applyFill="1" applyBorder="1"/>
    <xf numFmtId="0" fontId="7" fillId="0" borderId="0" xfId="0" applyFont="1"/>
    <xf numFmtId="0" fontId="3" fillId="17" borderId="0" xfId="0" applyFont="1" applyFill="1" applyAlignment="1">
      <alignment horizontal="center"/>
    </xf>
    <xf numFmtId="0" fontId="2" fillId="17" borderId="10" xfId="0" applyFont="1" applyFill="1" applyBorder="1" applyAlignment="1">
      <alignment horizontal="center"/>
    </xf>
    <xf numFmtId="0" fontId="2" fillId="17" borderId="11" xfId="0" applyFont="1" applyFill="1" applyBorder="1" applyAlignment="1">
      <alignment horizontal="center"/>
    </xf>
    <xf numFmtId="0" fontId="2" fillId="17" borderId="0" xfId="0" applyFont="1" applyFill="1" applyAlignment="1">
      <alignment horizontal="center"/>
    </xf>
    <xf numFmtId="0" fontId="7" fillId="17" borderId="10" xfId="0" applyFont="1" applyFill="1" applyBorder="1" applyAlignment="1">
      <alignment horizontal="center"/>
    </xf>
    <xf numFmtId="0" fontId="7" fillId="17" borderId="11" xfId="0" applyFont="1" applyFill="1" applyBorder="1" applyAlignment="1">
      <alignment horizontal="center"/>
    </xf>
    <xf numFmtId="0" fontId="2" fillId="17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5" fillId="18" borderId="0" xfId="0" applyFont="1" applyFill="1" applyAlignment="1">
      <alignment horizontal="center"/>
    </xf>
    <xf numFmtId="0" fontId="6" fillId="18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6" fillId="19" borderId="0" xfId="0" applyFont="1" applyFill="1" applyAlignment="1">
      <alignment horizontal="center"/>
    </xf>
    <xf numFmtId="0" fontId="3" fillId="20" borderId="0" xfId="0" applyFont="1" applyFill="1" applyAlignment="1">
      <alignment horizontal="center"/>
    </xf>
    <xf numFmtId="0" fontId="2" fillId="20" borderId="12" xfId="0" applyFont="1" applyFill="1" applyBorder="1" applyAlignment="1">
      <alignment horizontal="center"/>
    </xf>
    <xf numFmtId="0" fontId="2" fillId="20" borderId="13" xfId="0" applyFont="1" applyFill="1" applyBorder="1" applyAlignment="1">
      <alignment horizontal="center"/>
    </xf>
    <xf numFmtId="0" fontId="2" fillId="20" borderId="0" xfId="0" applyFont="1" applyFill="1" applyAlignment="1">
      <alignment horizontal="center"/>
    </xf>
    <xf numFmtId="0" fontId="7" fillId="20" borderId="12" xfId="0" applyFont="1" applyFill="1" applyBorder="1" applyAlignment="1">
      <alignment horizontal="center"/>
    </xf>
    <xf numFmtId="0" fontId="7" fillId="20" borderId="13" xfId="0" applyFont="1" applyFill="1" applyBorder="1" applyAlignment="1">
      <alignment horizontal="center"/>
    </xf>
    <xf numFmtId="0" fontId="2" fillId="20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5" fillId="21" borderId="0" xfId="0" applyFont="1" applyFill="1" applyAlignment="1">
      <alignment horizontal="center"/>
    </xf>
    <xf numFmtId="0" fontId="6" fillId="21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2" borderId="0" xfId="0" applyFont="1" applyFill="1" applyAlignment="1">
      <alignment horizontal="center"/>
    </xf>
    <xf numFmtId="0" fontId="6" fillId="22" borderId="0" xfId="0" applyFont="1" applyFill="1" applyAlignment="1">
      <alignment horizontal="center"/>
    </xf>
    <xf numFmtId="0" fontId="3" fillId="23" borderId="0" xfId="0" applyFont="1" applyFill="1" applyAlignment="1">
      <alignment horizontal="center"/>
    </xf>
    <xf numFmtId="0" fontId="2" fillId="23" borderId="14" xfId="0" applyFont="1" applyFill="1" applyBorder="1" applyAlignment="1">
      <alignment horizontal="center"/>
    </xf>
    <xf numFmtId="0" fontId="2" fillId="23" borderId="15" xfId="0" applyFont="1" applyFill="1" applyBorder="1" applyAlignment="1">
      <alignment horizontal="center"/>
    </xf>
    <xf numFmtId="0" fontId="2" fillId="23" borderId="0" xfId="0" applyFont="1" applyFill="1" applyAlignment="1">
      <alignment horizontal="center"/>
    </xf>
    <xf numFmtId="0" fontId="7" fillId="23" borderId="14" xfId="0" applyFont="1" applyFill="1" applyBorder="1" applyAlignment="1">
      <alignment horizontal="center"/>
    </xf>
    <xf numFmtId="0" fontId="7" fillId="23" borderId="15" xfId="0" applyFont="1" applyFill="1" applyBorder="1" applyAlignment="1">
      <alignment horizontal="center"/>
    </xf>
    <xf numFmtId="0" fontId="2" fillId="23" borderId="0" xfId="0" applyFont="1" applyFill="1" applyAlignment="1">
      <alignment horizontal="center"/>
    </xf>
    <xf numFmtId="0" fontId="2" fillId="24" borderId="0" xfId="0" applyFont="1" applyFill="1" applyAlignment="1">
      <alignment horizontal="center"/>
    </xf>
    <xf numFmtId="0" fontId="5" fillId="24" borderId="0" xfId="0" applyFont="1" applyFill="1" applyAlignment="1">
      <alignment horizontal="center"/>
    </xf>
    <xf numFmtId="0" fontId="6" fillId="24" borderId="0" xfId="0" applyFont="1" applyFill="1" applyAlignment="1">
      <alignment horizontal="center"/>
    </xf>
    <xf numFmtId="0" fontId="2" fillId="24" borderId="0" xfId="0" applyFont="1" applyFill="1" applyAlignment="1">
      <alignment horizontal="center"/>
    </xf>
    <xf numFmtId="0" fontId="2" fillId="24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6" fillId="25" borderId="0" xfId="0" applyFont="1" applyFill="1" applyAlignment="1">
      <alignment horizontal="center"/>
    </xf>
    <xf numFmtId="0" fontId="3" fillId="26" borderId="0" xfId="0" applyFont="1" applyFill="1" applyAlignment="1">
      <alignment horizontal="center"/>
    </xf>
    <xf numFmtId="0" fontId="2" fillId="26" borderId="16" xfId="0" applyFont="1" applyFill="1" applyBorder="1" applyAlignment="1">
      <alignment horizontal="center"/>
    </xf>
    <xf numFmtId="0" fontId="2" fillId="26" borderId="17" xfId="0" applyFont="1" applyFill="1" applyBorder="1" applyAlignment="1">
      <alignment horizontal="center"/>
    </xf>
    <xf numFmtId="0" fontId="2" fillId="26" borderId="0" xfId="0" applyFont="1" applyFill="1" applyAlignment="1">
      <alignment horizontal="center"/>
    </xf>
    <xf numFmtId="0" fontId="7" fillId="26" borderId="16" xfId="0" applyFont="1" applyFill="1" applyBorder="1" applyAlignment="1">
      <alignment horizontal="center"/>
    </xf>
    <xf numFmtId="0" fontId="7" fillId="26" borderId="17" xfId="0" applyFont="1" applyFill="1" applyBorder="1" applyAlignment="1">
      <alignment horizontal="center"/>
    </xf>
    <xf numFmtId="0" fontId="2" fillId="26" borderId="0" xfId="0" applyFont="1" applyFill="1" applyAlignment="1">
      <alignment horizontal="center"/>
    </xf>
    <xf numFmtId="0" fontId="2" fillId="27" borderId="0" xfId="0" applyFont="1" applyFill="1" applyAlignment="1">
      <alignment horizontal="center"/>
    </xf>
    <xf numFmtId="0" fontId="5" fillId="27" borderId="0" xfId="0" applyFont="1" applyFill="1" applyAlignment="1">
      <alignment horizontal="center"/>
    </xf>
    <xf numFmtId="0" fontId="6" fillId="27" borderId="0" xfId="0" applyFont="1" applyFill="1" applyAlignment="1">
      <alignment horizontal="center"/>
    </xf>
    <xf numFmtId="0" fontId="2" fillId="27" borderId="0" xfId="0" applyFont="1" applyFill="1" applyAlignment="1">
      <alignment horizontal="center"/>
    </xf>
    <xf numFmtId="0" fontId="2" fillId="27" borderId="0" xfId="0" applyFont="1" applyFill="1" applyAlignment="1">
      <alignment horizontal="center"/>
    </xf>
    <xf numFmtId="0" fontId="2" fillId="28" borderId="0" xfId="0" applyFont="1" applyFill="1"/>
    <xf numFmtId="0" fontId="6" fillId="28" borderId="0" xfId="0" applyFont="1" applyFill="1"/>
    <xf numFmtId="0" fontId="7" fillId="3" borderId="18" xfId="0" applyFont="1" applyFill="1" applyBorder="1" applyAlignment="1">
      <alignment horizontal="center"/>
    </xf>
    <xf numFmtId="0" fontId="8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8" fillId="3" borderId="18" xfId="0" applyFont="1" applyFill="1" applyBorder="1" applyAlignment="1">
      <alignment vertical="center"/>
    </xf>
    <xf numFmtId="0" fontId="8" fillId="3" borderId="19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10" fillId="29" borderId="2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right" vertical="center"/>
    </xf>
    <xf numFmtId="0" fontId="10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/>
    </xf>
    <xf numFmtId="0" fontId="8" fillId="3" borderId="22" xfId="0" applyFont="1" applyFill="1" applyBorder="1" applyAlignment="1">
      <alignment vertical="center"/>
    </xf>
    <xf numFmtId="0" fontId="8" fillId="3" borderId="23" xfId="0" applyFont="1" applyFill="1" applyBorder="1" applyAlignment="1">
      <alignment vertical="center"/>
    </xf>
    <xf numFmtId="0" fontId="8" fillId="3" borderId="24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11" fillId="0" borderId="0" xfId="0" applyFont="1"/>
    <xf numFmtId="0" fontId="2" fillId="0" borderId="0" xfId="0" applyFont="1" applyAlignment="1"/>
    <xf numFmtId="0" fontId="8" fillId="18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11" fillId="0" borderId="0" xfId="0" applyFont="1" applyAlignment="1"/>
    <xf numFmtId="0" fontId="2" fillId="3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2" fillId="3" borderId="0" xfId="0" applyFont="1" applyFill="1" applyAlignment="1"/>
    <xf numFmtId="0" fontId="3" fillId="4" borderId="0" xfId="0" applyFont="1" applyFill="1" applyAlignment="1">
      <alignment horizontal="center"/>
    </xf>
    <xf numFmtId="0" fontId="12" fillId="4" borderId="0" xfId="0" applyFont="1" applyFill="1" applyAlignment="1"/>
    <xf numFmtId="0" fontId="5" fillId="3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12" fillId="5" borderId="0" xfId="0" applyFont="1" applyFill="1" applyAlignment="1"/>
    <xf numFmtId="0" fontId="6" fillId="6" borderId="0" xfId="0" applyFont="1" applyFill="1" applyAlignment="1">
      <alignment horizontal="center"/>
    </xf>
    <xf numFmtId="0" fontId="12" fillId="6" borderId="0" xfId="0" applyFont="1" applyFill="1" applyAlignment="1"/>
    <xf numFmtId="0" fontId="5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0" fontId="7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2" fillId="3" borderId="0" xfId="0" applyFont="1" applyFill="1" applyAlignment="1"/>
    <xf numFmtId="0" fontId="3" fillId="8" borderId="0" xfId="0" applyFont="1" applyFill="1" applyAlignment="1">
      <alignment horizontal="center"/>
    </xf>
    <xf numFmtId="0" fontId="12" fillId="8" borderId="0" xfId="0" applyFont="1" applyFill="1" applyAlignment="1"/>
    <xf numFmtId="0" fontId="5" fillId="9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12" fillId="9" borderId="0" xfId="0" applyFont="1" applyFill="1" applyAlignment="1"/>
    <xf numFmtId="0" fontId="5" fillId="9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12" fillId="11" borderId="0" xfId="0" applyFont="1" applyFill="1" applyAlignment="1"/>
    <xf numFmtId="0" fontId="5" fillId="12" borderId="0" xfId="0" applyFont="1" applyFill="1" applyAlignment="1">
      <alignment horizontal="center"/>
    </xf>
    <xf numFmtId="0" fontId="6" fillId="12" borderId="0" xfId="0" applyFont="1" applyFill="1" applyAlignment="1">
      <alignment horizontal="center"/>
    </xf>
    <xf numFmtId="0" fontId="6" fillId="12" borderId="0" xfId="0" applyFont="1" applyFill="1" applyAlignment="1">
      <alignment horizontal="center"/>
    </xf>
    <xf numFmtId="0" fontId="12" fillId="12" borderId="0" xfId="0" applyFont="1" applyFill="1" applyAlignment="1"/>
    <xf numFmtId="0" fontId="5" fillId="12" borderId="0" xfId="0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12" fillId="14" borderId="0" xfId="0" applyFont="1" applyFill="1" applyAlignment="1"/>
    <xf numFmtId="0" fontId="5" fillId="15" borderId="0" xfId="0" applyFont="1" applyFill="1" applyAlignment="1">
      <alignment horizontal="center"/>
    </xf>
    <xf numFmtId="0" fontId="6" fillId="15" borderId="0" xfId="0" applyFont="1" applyFill="1" applyAlignment="1">
      <alignment horizontal="center"/>
    </xf>
    <xf numFmtId="0" fontId="6" fillId="15" borderId="0" xfId="0" applyFont="1" applyFill="1" applyAlignment="1">
      <alignment horizontal="center"/>
    </xf>
    <xf numFmtId="0" fontId="12" fillId="15" borderId="0" xfId="0" applyFont="1" applyFill="1" applyAlignment="1"/>
    <xf numFmtId="0" fontId="5" fillId="15" borderId="0" xfId="0" applyFont="1" applyFill="1" applyAlignment="1">
      <alignment horizontal="center"/>
    </xf>
    <xf numFmtId="0" fontId="5" fillId="15" borderId="0" xfId="0" applyFont="1" applyFill="1" applyAlignment="1">
      <alignment horizontal="center"/>
    </xf>
    <xf numFmtId="0" fontId="3" fillId="17" borderId="0" xfId="0" applyFont="1" applyFill="1" applyAlignment="1">
      <alignment horizontal="center"/>
    </xf>
    <xf numFmtId="0" fontId="12" fillId="17" borderId="0" xfId="0" applyFont="1" applyFill="1" applyAlignment="1"/>
    <xf numFmtId="0" fontId="5" fillId="18" borderId="0" xfId="0" applyFont="1" applyFill="1" applyAlignment="1">
      <alignment horizontal="center"/>
    </xf>
    <xf numFmtId="0" fontId="6" fillId="18" borderId="0" xfId="0" applyFont="1" applyFill="1" applyAlignment="1">
      <alignment horizontal="center"/>
    </xf>
    <xf numFmtId="0" fontId="6" fillId="18" borderId="0" xfId="0" applyFont="1" applyFill="1" applyAlignment="1">
      <alignment horizontal="center"/>
    </xf>
    <xf numFmtId="0" fontId="12" fillId="18" borderId="0" xfId="0" applyFont="1" applyFill="1" applyAlignment="1"/>
    <xf numFmtId="0" fontId="5" fillId="18" borderId="0" xfId="0" applyFont="1" applyFill="1" applyAlignment="1">
      <alignment horizontal="center"/>
    </xf>
    <xf numFmtId="0" fontId="5" fillId="18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7" fillId="20" borderId="0" xfId="0" applyFont="1" applyFill="1" applyAlignment="1">
      <alignment horizontal="center"/>
    </xf>
    <xf numFmtId="0" fontId="12" fillId="20" borderId="0" xfId="0" applyFont="1" applyFill="1" applyAlignment="1"/>
    <xf numFmtId="0" fontId="12" fillId="20" borderId="0" xfId="0" applyFont="1" applyFill="1" applyAlignment="1"/>
    <xf numFmtId="0" fontId="5" fillId="3" borderId="0" xfId="0" applyFont="1" applyFill="1" applyAlignment="1">
      <alignment horizontal="center"/>
    </xf>
    <xf numFmtId="0" fontId="12" fillId="21" borderId="0" xfId="0" applyFont="1" applyFill="1" applyAlignment="1"/>
    <xf numFmtId="0" fontId="6" fillId="21" borderId="0" xfId="0" applyFont="1" applyFill="1" applyAlignment="1">
      <alignment horizontal="center"/>
    </xf>
    <xf numFmtId="0" fontId="7" fillId="23" borderId="0" xfId="0" applyFont="1" applyFill="1" applyAlignment="1">
      <alignment horizontal="center"/>
    </xf>
    <xf numFmtId="0" fontId="12" fillId="23" borderId="0" xfId="0" applyFont="1" applyFill="1" applyAlignment="1"/>
    <xf numFmtId="0" fontId="12" fillId="23" borderId="0" xfId="0" applyFont="1" applyFill="1" applyAlignment="1"/>
    <xf numFmtId="0" fontId="12" fillId="24" borderId="0" xfId="0" applyFont="1" applyFill="1" applyAlignment="1"/>
    <xf numFmtId="0" fontId="6" fillId="24" borderId="0" xfId="0" applyFont="1" applyFill="1" applyAlignment="1">
      <alignment horizontal="center"/>
    </xf>
    <xf numFmtId="0" fontId="3" fillId="30" borderId="0" xfId="0" applyFont="1" applyFill="1" applyAlignment="1">
      <alignment horizontal="center"/>
    </xf>
    <xf numFmtId="0" fontId="2" fillId="30" borderId="0" xfId="0" applyFont="1" applyFill="1" applyAlignment="1">
      <alignment horizontal="center"/>
    </xf>
    <xf numFmtId="0" fontId="2" fillId="30" borderId="0" xfId="0" applyFont="1" applyFill="1" applyAlignment="1">
      <alignment horizontal="center"/>
    </xf>
    <xf numFmtId="0" fontId="7" fillId="30" borderId="0" xfId="0" applyFont="1" applyFill="1" applyAlignment="1">
      <alignment horizontal="center"/>
    </xf>
    <xf numFmtId="0" fontId="12" fillId="30" borderId="0" xfId="0" applyFont="1" applyFill="1" applyAlignment="1"/>
    <xf numFmtId="0" fontId="12" fillId="30" borderId="0" xfId="0" applyFont="1" applyFill="1" applyAlignment="1"/>
    <xf numFmtId="0" fontId="2" fillId="31" borderId="0" xfId="0" applyFont="1" applyFill="1" applyAlignment="1">
      <alignment horizontal="center"/>
    </xf>
    <xf numFmtId="0" fontId="5" fillId="31" borderId="0" xfId="0" applyFont="1" applyFill="1" applyAlignment="1">
      <alignment horizontal="center"/>
    </xf>
    <xf numFmtId="0" fontId="6" fillId="31" borderId="0" xfId="0" applyFont="1" applyFill="1" applyAlignment="1">
      <alignment horizontal="center"/>
    </xf>
    <xf numFmtId="0" fontId="2" fillId="31" borderId="0" xfId="0" applyFont="1" applyFill="1" applyAlignment="1">
      <alignment horizontal="center"/>
    </xf>
    <xf numFmtId="0" fontId="2" fillId="31" borderId="0" xfId="0" applyFont="1" applyFill="1" applyAlignment="1">
      <alignment horizontal="center"/>
    </xf>
    <xf numFmtId="0" fontId="12" fillId="31" borderId="0" xfId="0" applyFont="1" applyFill="1" applyAlignment="1"/>
    <xf numFmtId="0" fontId="6" fillId="31" borderId="0" xfId="0" applyFont="1" applyFill="1" applyAlignment="1">
      <alignment horizontal="center"/>
    </xf>
    <xf numFmtId="0" fontId="2" fillId="32" borderId="0" xfId="0" applyFont="1" applyFill="1" applyAlignment="1">
      <alignment horizontal="center"/>
    </xf>
    <xf numFmtId="0" fontId="6" fillId="32" borderId="0" xfId="0" applyFont="1" applyFill="1" applyAlignment="1">
      <alignment horizontal="center"/>
    </xf>
    <xf numFmtId="0" fontId="7" fillId="3" borderId="0" xfId="0" applyFont="1" applyFill="1"/>
    <xf numFmtId="0" fontId="3" fillId="33" borderId="0" xfId="0" applyFont="1" applyFill="1" applyAlignment="1">
      <alignment horizontal="center"/>
    </xf>
    <xf numFmtId="0" fontId="2" fillId="33" borderId="0" xfId="0" applyFont="1" applyFill="1" applyAlignment="1">
      <alignment horizontal="center"/>
    </xf>
    <xf numFmtId="0" fontId="2" fillId="33" borderId="0" xfId="0" applyFont="1" applyFill="1" applyAlignment="1">
      <alignment horizontal="center"/>
    </xf>
    <xf numFmtId="0" fontId="7" fillId="33" borderId="0" xfId="0" applyFont="1" applyFill="1" applyAlignment="1">
      <alignment horizontal="center"/>
    </xf>
    <xf numFmtId="0" fontId="12" fillId="33" borderId="0" xfId="0" applyFont="1" applyFill="1" applyAlignment="1"/>
    <xf numFmtId="0" fontId="12" fillId="33" borderId="0" xfId="0" applyFont="1" applyFill="1" applyAlignment="1"/>
    <xf numFmtId="0" fontId="2" fillId="34" borderId="0" xfId="0" applyFont="1" applyFill="1" applyAlignment="1">
      <alignment horizontal="center"/>
    </xf>
    <xf numFmtId="0" fontId="5" fillId="34" borderId="0" xfId="0" applyFont="1" applyFill="1" applyAlignment="1">
      <alignment horizontal="center"/>
    </xf>
    <xf numFmtId="0" fontId="6" fillId="34" borderId="0" xfId="0" applyFont="1" applyFill="1" applyAlignment="1">
      <alignment horizontal="center"/>
    </xf>
    <xf numFmtId="0" fontId="2" fillId="34" borderId="0" xfId="0" applyFont="1" applyFill="1" applyAlignment="1">
      <alignment horizontal="center"/>
    </xf>
    <xf numFmtId="0" fontId="2" fillId="34" borderId="0" xfId="0" applyFont="1" applyFill="1" applyAlignment="1">
      <alignment horizontal="center"/>
    </xf>
    <xf numFmtId="0" fontId="12" fillId="34" borderId="0" xfId="0" applyFont="1" applyFill="1" applyAlignment="1"/>
    <xf numFmtId="0" fontId="6" fillId="34" borderId="0" xfId="0" applyFont="1" applyFill="1" applyAlignment="1">
      <alignment horizontal="center"/>
    </xf>
    <xf numFmtId="0" fontId="2" fillId="35" borderId="0" xfId="0" applyFont="1" applyFill="1" applyAlignment="1">
      <alignment horizontal="center"/>
    </xf>
    <xf numFmtId="0" fontId="6" fillId="35" borderId="0" xfId="0" applyFont="1" applyFill="1" applyAlignment="1">
      <alignment horizontal="center"/>
    </xf>
    <xf numFmtId="0" fontId="3" fillId="36" borderId="0" xfId="0" applyFont="1" applyFill="1" applyAlignment="1">
      <alignment horizontal="center"/>
    </xf>
    <xf numFmtId="0" fontId="2" fillId="36" borderId="0" xfId="0" applyFont="1" applyFill="1" applyAlignment="1">
      <alignment horizontal="center"/>
    </xf>
    <xf numFmtId="0" fontId="2" fillId="36" borderId="0" xfId="0" applyFont="1" applyFill="1" applyAlignment="1">
      <alignment horizontal="center"/>
    </xf>
    <xf numFmtId="0" fontId="7" fillId="36" borderId="0" xfId="0" applyFont="1" applyFill="1" applyAlignment="1">
      <alignment horizontal="center"/>
    </xf>
    <xf numFmtId="0" fontId="12" fillId="36" borderId="0" xfId="0" applyFont="1" applyFill="1" applyAlignment="1"/>
    <xf numFmtId="0" fontId="12" fillId="36" borderId="0" xfId="0" applyFont="1" applyFill="1" applyAlignment="1"/>
    <xf numFmtId="0" fontId="2" fillId="37" borderId="0" xfId="0" applyFont="1" applyFill="1" applyAlignment="1">
      <alignment horizontal="center"/>
    </xf>
    <xf numFmtId="0" fontId="5" fillId="37" borderId="0" xfId="0" applyFont="1" applyFill="1" applyAlignment="1">
      <alignment horizontal="center"/>
    </xf>
    <xf numFmtId="0" fontId="6" fillId="37" borderId="0" xfId="0" applyFont="1" applyFill="1" applyAlignment="1">
      <alignment horizontal="center"/>
    </xf>
    <xf numFmtId="0" fontId="2" fillId="37" borderId="0" xfId="0" applyFont="1" applyFill="1" applyAlignment="1">
      <alignment horizontal="center"/>
    </xf>
    <xf numFmtId="0" fontId="2" fillId="37" borderId="0" xfId="0" applyFont="1" applyFill="1" applyAlignment="1">
      <alignment horizontal="center"/>
    </xf>
    <xf numFmtId="0" fontId="12" fillId="37" borderId="0" xfId="0" applyFont="1" applyFill="1" applyAlignment="1"/>
    <xf numFmtId="0" fontId="6" fillId="37" borderId="0" xfId="0" applyFont="1" applyFill="1" applyAlignment="1">
      <alignment horizontal="center"/>
    </xf>
    <xf numFmtId="0" fontId="2" fillId="38" borderId="0" xfId="0" applyFont="1" applyFill="1" applyAlignment="1">
      <alignment horizontal="center"/>
    </xf>
    <xf numFmtId="0" fontId="6" fillId="38" borderId="0" xfId="0" applyFont="1" applyFill="1" applyAlignment="1">
      <alignment horizontal="center"/>
    </xf>
    <xf numFmtId="0" fontId="7" fillId="26" borderId="0" xfId="0" applyFont="1" applyFill="1" applyAlignment="1">
      <alignment horizontal="center"/>
    </xf>
    <xf numFmtId="0" fontId="12" fillId="26" borderId="0" xfId="0" applyFont="1" applyFill="1" applyAlignment="1"/>
    <xf numFmtId="0" fontId="12" fillId="26" borderId="0" xfId="0" applyFont="1" applyFill="1" applyAlignment="1"/>
    <xf numFmtId="0" fontId="12" fillId="27" borderId="0" xfId="0" applyFont="1" applyFill="1" applyAlignment="1"/>
    <xf numFmtId="0" fontId="6" fillId="27" borderId="0" xfId="0" applyFont="1" applyFill="1" applyAlignment="1">
      <alignment horizontal="center"/>
    </xf>
    <xf numFmtId="0" fontId="2" fillId="28" borderId="0" xfId="0" applyFont="1" applyFill="1" applyAlignment="1">
      <alignment horizontal="center"/>
    </xf>
    <xf numFmtId="0" fontId="6" fillId="28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12" fillId="4" borderId="0" xfId="0" applyFont="1" applyFill="1" applyAlignment="1"/>
    <xf numFmtId="0" fontId="2" fillId="7" borderId="0" xfId="0" applyFont="1" applyFill="1"/>
    <xf numFmtId="0" fontId="6" fillId="7" borderId="0" xfId="0" applyFont="1" applyFill="1"/>
    <xf numFmtId="0" fontId="8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12" fillId="3" borderId="0" xfId="0" applyFont="1" applyFill="1"/>
    <xf numFmtId="0" fontId="10" fillId="29" borderId="0" xfId="0" applyFont="1" applyFill="1" applyAlignment="1">
      <alignment vertical="center"/>
    </xf>
    <xf numFmtId="0" fontId="10" fillId="3" borderId="0" xfId="0" applyFont="1" applyFill="1" applyAlignment="1">
      <alignment horizontal="right" vertical="center"/>
    </xf>
    <xf numFmtId="0" fontId="10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/>
    </xf>
    <xf numFmtId="0" fontId="10" fillId="29" borderId="0" xfId="0" applyFont="1" applyFill="1" applyAlignment="1"/>
    <xf numFmtId="0" fontId="10" fillId="29" borderId="0" xfId="0" applyFont="1" applyFill="1"/>
    <xf numFmtId="0" fontId="6" fillId="3" borderId="0" xfId="0" applyFont="1" applyFill="1" applyAlignment="1">
      <alignment horizontal="center"/>
    </xf>
    <xf numFmtId="0" fontId="12" fillId="0" borderId="0" xfId="0" applyFont="1" applyAlignment="1"/>
    <xf numFmtId="0" fontId="3" fillId="3" borderId="0" xfId="0" applyFont="1" applyFill="1" applyAlignment="1">
      <alignment horizontal="center" vertical="center"/>
    </xf>
    <xf numFmtId="0" fontId="10" fillId="29" borderId="0" xfId="0" applyFont="1" applyFill="1" applyAlignment="1">
      <alignment horizontal="right" vertical="center"/>
    </xf>
    <xf numFmtId="0" fontId="0" fillId="0" borderId="0" xfId="0" applyFont="1" applyAlignment="1"/>
    <xf numFmtId="0" fontId="4" fillId="0" borderId="20" xfId="0" applyFont="1" applyBorder="1"/>
    <xf numFmtId="0" fontId="3" fillId="26" borderId="0" xfId="0" applyFont="1" applyFill="1" applyAlignment="1">
      <alignment horizontal="center"/>
    </xf>
    <xf numFmtId="0" fontId="2" fillId="28" borderId="0" xfId="0" applyFont="1" applyFill="1" applyAlignment="1">
      <alignment horizontal="right"/>
    </xf>
    <xf numFmtId="0" fontId="3" fillId="23" borderId="0" xfId="0" applyFont="1" applyFill="1" applyAlignment="1">
      <alignment horizontal="center"/>
    </xf>
    <xf numFmtId="0" fontId="2" fillId="25" borderId="0" xfId="0" applyFont="1" applyFill="1" applyAlignment="1">
      <alignment horizontal="right"/>
    </xf>
    <xf numFmtId="0" fontId="8" fillId="5" borderId="0" xfId="0" applyFont="1" applyFill="1" applyAlignment="1">
      <alignment horizontal="center"/>
    </xf>
    <xf numFmtId="0" fontId="8" fillId="18" borderId="0" xfId="0" applyFont="1" applyFill="1" applyAlignment="1">
      <alignment horizontal="center"/>
    </xf>
    <xf numFmtId="0" fontId="2" fillId="24" borderId="0" xfId="0" applyFont="1" applyFill="1" applyAlignment="1">
      <alignment horizontal="left" vertical="center"/>
    </xf>
    <xf numFmtId="0" fontId="2" fillId="2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3" fillId="2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right"/>
    </xf>
    <xf numFmtId="0" fontId="10" fillId="29" borderId="0" xfId="0" applyFont="1" applyFill="1" applyAlignment="1">
      <alignment horizontal="right"/>
    </xf>
    <xf numFmtId="0" fontId="2" fillId="16" borderId="0" xfId="0" applyFont="1" applyFill="1" applyAlignment="1">
      <alignment horizontal="right"/>
    </xf>
    <xf numFmtId="0" fontId="2" fillId="19" borderId="0" xfId="0" applyFont="1" applyFill="1" applyAlignment="1">
      <alignment horizontal="right"/>
    </xf>
    <xf numFmtId="0" fontId="2" fillId="13" borderId="0" xfId="0" applyFont="1" applyFill="1" applyAlignment="1">
      <alignment horizontal="right"/>
    </xf>
    <xf numFmtId="0" fontId="2" fillId="10" borderId="0" xfId="0" applyFont="1" applyFill="1" applyAlignment="1">
      <alignment horizontal="right"/>
    </xf>
    <xf numFmtId="0" fontId="3" fillId="20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2" xfId="0" applyFont="1" applyFill="1" applyBorder="1"/>
    <xf numFmtId="0" fontId="2" fillId="7" borderId="0" xfId="0" applyFont="1" applyFill="1" applyAlignment="1">
      <alignment horizontal="right"/>
    </xf>
    <xf numFmtId="0" fontId="3" fillId="14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17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0" borderId="0" xfId="0" applyFont="1" applyFill="1" applyAlignment="1">
      <alignment horizontal="center"/>
    </xf>
    <xf numFmtId="0" fontId="12" fillId="17" borderId="0" xfId="0" applyFont="1" applyFill="1" applyAlignment="1"/>
    <xf numFmtId="0" fontId="2" fillId="38" borderId="0" xfId="0" applyFont="1" applyFill="1" applyAlignment="1">
      <alignment horizontal="right"/>
    </xf>
    <xf numFmtId="0" fontId="2" fillId="32" borderId="0" xfId="0" applyFont="1" applyFill="1" applyAlignment="1">
      <alignment horizontal="right"/>
    </xf>
    <xf numFmtId="0" fontId="3" fillId="33" borderId="0" xfId="0" applyFont="1" applyFill="1" applyAlignment="1">
      <alignment horizontal="center"/>
    </xf>
    <xf numFmtId="0" fontId="2" fillId="35" borderId="0" xfId="0" applyFont="1" applyFill="1" applyAlignment="1">
      <alignment horizontal="right"/>
    </xf>
    <xf numFmtId="0" fontId="3" fillId="36" borderId="0" xfId="0" applyFont="1" applyFill="1" applyAlignment="1">
      <alignment horizontal="center"/>
    </xf>
    <xf numFmtId="0" fontId="12" fillId="8" borderId="0" xfId="0" applyFont="1" applyFill="1" applyAlignment="1"/>
    <xf numFmtId="0" fontId="12" fillId="4" borderId="0" xfId="0" applyFont="1" applyFill="1" applyAlignment="1"/>
    <xf numFmtId="0" fontId="12" fillId="14" borderId="0" xfId="0" applyFont="1" applyFill="1" applyAlignment="1"/>
    <xf numFmtId="0" fontId="12" fillId="11" borderId="0" xfId="0" applyFont="1" applyFill="1" applyAlignment="1"/>
    <xf numFmtId="0" fontId="13" fillId="7" borderId="0" xfId="0" applyFont="1" applyFill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K84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:I2"/>
    </sheetView>
  </sheetViews>
  <sheetFormatPr defaultColWidth="14.44140625" defaultRowHeight="15" customHeight="1"/>
  <cols>
    <col min="1" max="1" width="17.33203125" customWidth="1"/>
    <col min="2" max="2" width="5.88671875" customWidth="1"/>
    <col min="3" max="3" width="3" customWidth="1"/>
    <col min="4" max="4" width="5.88671875" customWidth="1"/>
    <col min="5" max="5" width="17.33203125" customWidth="1"/>
    <col min="6" max="6" width="1.44140625" customWidth="1"/>
    <col min="7" max="7" width="5.88671875" customWidth="1"/>
    <col min="8" max="8" width="3" customWidth="1"/>
    <col min="9" max="10" width="5.88671875" customWidth="1"/>
    <col min="11" max="11" width="1.5546875" customWidth="1"/>
    <col min="12" max="12" width="5.88671875" customWidth="1"/>
    <col min="13" max="13" width="3" customWidth="1"/>
    <col min="14" max="15" width="5.88671875" customWidth="1"/>
    <col min="16" max="16" width="1.5546875" customWidth="1"/>
    <col min="17" max="17" width="5.88671875" customWidth="1"/>
    <col min="18" max="18" width="3" customWidth="1"/>
    <col min="19" max="20" width="5.88671875" customWidth="1"/>
    <col min="21" max="21" width="1.5546875" customWidth="1"/>
    <col min="22" max="22" width="5.88671875" customWidth="1"/>
    <col min="23" max="23" width="3" customWidth="1"/>
    <col min="24" max="25" width="5.88671875" customWidth="1"/>
    <col min="26" max="26" width="1.5546875" customWidth="1"/>
    <col min="27" max="27" width="5.88671875" customWidth="1"/>
    <col min="28" max="28" width="3" customWidth="1"/>
    <col min="29" max="30" width="5.88671875" customWidth="1"/>
    <col min="31" max="31" width="1.5546875" customWidth="1"/>
    <col min="32" max="32" width="5.88671875" customWidth="1"/>
    <col min="33" max="33" width="3" customWidth="1"/>
    <col min="34" max="35" width="5.88671875" customWidth="1"/>
    <col min="36" max="36" width="1.5546875" customWidth="1"/>
    <col min="37" max="37" width="5.88671875" customWidth="1"/>
    <col min="38" max="38" width="3" customWidth="1"/>
    <col min="39" max="40" width="5.88671875" customWidth="1"/>
    <col min="41" max="41" width="1.5546875" customWidth="1"/>
    <col min="42" max="42" width="5.88671875" customWidth="1"/>
    <col min="43" max="43" width="3" customWidth="1"/>
    <col min="44" max="45" width="5.88671875" customWidth="1"/>
    <col min="46" max="46" width="1.5546875" customWidth="1"/>
    <col min="47" max="47" width="5.88671875" customWidth="1"/>
    <col min="48" max="48" width="3" customWidth="1"/>
    <col min="49" max="50" width="5.88671875" customWidth="1"/>
    <col min="51" max="51" width="1.5546875" customWidth="1"/>
    <col min="52" max="52" width="5.88671875" customWidth="1"/>
    <col min="53" max="53" width="3" customWidth="1"/>
    <col min="54" max="55" width="5.88671875" customWidth="1"/>
    <col min="56" max="56" width="1.5546875" customWidth="1"/>
    <col min="57" max="57" width="5.88671875" customWidth="1"/>
    <col min="58" max="58" width="3" customWidth="1"/>
    <col min="59" max="60" width="5.88671875" customWidth="1"/>
    <col min="61" max="61" width="1.5546875" customWidth="1"/>
    <col min="62" max="62" width="5.88671875" customWidth="1"/>
    <col min="63" max="63" width="3" customWidth="1"/>
    <col min="64" max="65" width="5.88671875" customWidth="1"/>
    <col min="66" max="66" width="1.5546875" customWidth="1"/>
    <col min="67" max="67" width="5.88671875" customWidth="1"/>
    <col min="68" max="68" width="3" customWidth="1"/>
    <col min="69" max="70" width="5.88671875" customWidth="1"/>
    <col min="71" max="71" width="1.5546875" customWidth="1"/>
    <col min="72" max="72" width="5.88671875" customWidth="1"/>
    <col min="73" max="73" width="3" customWidth="1"/>
    <col min="74" max="74" width="5.88671875" customWidth="1"/>
    <col min="75" max="75" width="6" customWidth="1"/>
    <col min="76" max="76" width="1.5546875" customWidth="1"/>
    <col min="77" max="89" width="14.6640625" customWidth="1"/>
  </cols>
  <sheetData>
    <row r="1" spans="1:89" ht="17.399999999999999">
      <c r="A1" s="331"/>
      <c r="B1" s="301"/>
      <c r="C1" s="301"/>
      <c r="D1" s="301"/>
      <c r="E1" s="301"/>
      <c r="F1" s="1"/>
      <c r="G1" s="323" t="s">
        <v>0</v>
      </c>
      <c r="H1" s="301"/>
      <c r="I1" s="301"/>
      <c r="J1" s="3" t="str">
        <f>AN1</f>
        <v>Pts.</v>
      </c>
      <c r="K1" s="4"/>
      <c r="L1" s="323" t="s">
        <v>1</v>
      </c>
      <c r="M1" s="301"/>
      <c r="N1" s="301"/>
      <c r="O1" s="3" t="str">
        <f>AS1</f>
        <v>Pts.</v>
      </c>
      <c r="P1" s="4"/>
      <c r="Q1" s="323" t="s">
        <v>2</v>
      </c>
      <c r="R1" s="301"/>
      <c r="S1" s="301"/>
      <c r="T1" s="3" t="str">
        <f>AX1</f>
        <v>Pts.</v>
      </c>
      <c r="U1" s="4"/>
      <c r="V1" s="323" t="s">
        <v>3</v>
      </c>
      <c r="W1" s="301"/>
      <c r="X1" s="301"/>
      <c r="Y1" s="3" t="str">
        <f>BC1</f>
        <v>Pts.</v>
      </c>
      <c r="Z1" s="4"/>
      <c r="AA1" s="323" t="s">
        <v>4</v>
      </c>
      <c r="AB1" s="301"/>
      <c r="AC1" s="301"/>
      <c r="AD1" s="3" t="str">
        <f>BH1</f>
        <v>Pts.</v>
      </c>
      <c r="AE1" s="4"/>
      <c r="AF1" s="323" t="s">
        <v>5</v>
      </c>
      <c r="AG1" s="301"/>
      <c r="AH1" s="301"/>
      <c r="AI1" s="3" t="str">
        <f>BW1</f>
        <v>Pts.</v>
      </c>
      <c r="AJ1" s="4"/>
      <c r="AK1" s="323" t="s">
        <v>6</v>
      </c>
      <c r="AL1" s="301"/>
      <c r="AM1" s="301"/>
      <c r="AN1" s="3" t="str">
        <f>BW1</f>
        <v>Pts.</v>
      </c>
      <c r="AO1" s="4"/>
      <c r="AP1" s="323" t="s">
        <v>7</v>
      </c>
      <c r="AQ1" s="301"/>
      <c r="AR1" s="301"/>
      <c r="AS1" s="3" t="str">
        <f>BW1</f>
        <v>Pts.</v>
      </c>
      <c r="AT1" s="4"/>
      <c r="AU1" s="323" t="s">
        <v>8</v>
      </c>
      <c r="AV1" s="301"/>
      <c r="AW1" s="301"/>
      <c r="AX1" s="3" t="str">
        <f>BW1</f>
        <v>Pts.</v>
      </c>
      <c r="AY1" s="5"/>
      <c r="AZ1" s="323" t="s">
        <v>9</v>
      </c>
      <c r="BA1" s="301"/>
      <c r="BB1" s="301"/>
      <c r="BC1" s="3" t="str">
        <f>BW1</f>
        <v>Pts.</v>
      </c>
      <c r="BD1" s="6"/>
      <c r="BE1" s="323" t="s">
        <v>10</v>
      </c>
      <c r="BF1" s="301"/>
      <c r="BG1" s="301"/>
      <c r="BH1" s="7" t="str">
        <f>BW1</f>
        <v>Pts.</v>
      </c>
      <c r="BI1" s="6"/>
      <c r="BJ1" s="323" t="s">
        <v>11</v>
      </c>
      <c r="BK1" s="301"/>
      <c r="BL1" s="301"/>
      <c r="BM1" s="7" t="str">
        <f>BW1</f>
        <v>Pts.</v>
      </c>
      <c r="BN1" s="6"/>
      <c r="BO1" s="323" t="s">
        <v>12</v>
      </c>
      <c r="BP1" s="301"/>
      <c r="BQ1" s="301"/>
      <c r="BR1" s="7" t="str">
        <f>BW1</f>
        <v>Pts.</v>
      </c>
      <c r="BS1" s="6"/>
      <c r="BT1" s="323" t="s">
        <v>13</v>
      </c>
      <c r="BU1" s="301"/>
      <c r="BV1" s="301"/>
      <c r="BW1" s="7" t="s">
        <v>14</v>
      </c>
      <c r="BX1" s="1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</row>
    <row r="2" spans="1:89" ht="17.399999999999999">
      <c r="A2" s="324" t="s">
        <v>15</v>
      </c>
      <c r="B2" s="301"/>
      <c r="C2" s="301"/>
      <c r="D2" s="301"/>
      <c r="E2" s="301"/>
      <c r="F2" s="1"/>
      <c r="G2" s="324"/>
      <c r="H2" s="301"/>
      <c r="I2" s="325"/>
      <c r="J2" s="10"/>
      <c r="K2" s="4"/>
      <c r="L2" s="324"/>
      <c r="M2" s="301"/>
      <c r="N2" s="325"/>
      <c r="O2" s="10"/>
      <c r="P2" s="4"/>
      <c r="Q2" s="324"/>
      <c r="R2" s="301"/>
      <c r="S2" s="325"/>
      <c r="T2" s="10"/>
      <c r="U2" s="4"/>
      <c r="V2" s="324"/>
      <c r="W2" s="301"/>
      <c r="X2" s="325"/>
      <c r="Y2" s="10"/>
      <c r="Z2" s="4"/>
      <c r="AA2" s="324"/>
      <c r="AB2" s="301"/>
      <c r="AC2" s="325"/>
      <c r="AD2" s="10"/>
      <c r="AE2" s="4"/>
      <c r="AF2" s="324"/>
      <c r="AG2" s="301"/>
      <c r="AH2" s="325"/>
      <c r="AI2" s="10"/>
      <c r="AJ2" s="4"/>
      <c r="AK2" s="324"/>
      <c r="AL2" s="301"/>
      <c r="AM2" s="325"/>
      <c r="AN2" s="10"/>
      <c r="AO2" s="4"/>
      <c r="AP2" s="324"/>
      <c r="AQ2" s="301"/>
      <c r="AR2" s="325"/>
      <c r="AS2" s="10"/>
      <c r="AT2" s="4"/>
      <c r="AU2" s="324"/>
      <c r="AV2" s="301"/>
      <c r="AW2" s="325"/>
      <c r="AX2" s="10"/>
      <c r="AY2" s="5"/>
      <c r="AZ2" s="324"/>
      <c r="BA2" s="301"/>
      <c r="BB2" s="325"/>
      <c r="BC2" s="10"/>
      <c r="BD2" s="6"/>
      <c r="BE2" s="324"/>
      <c r="BF2" s="301"/>
      <c r="BG2" s="325"/>
      <c r="BH2" s="10"/>
      <c r="BI2" s="6"/>
      <c r="BJ2" s="324"/>
      <c r="BK2" s="301"/>
      <c r="BL2" s="325"/>
      <c r="BM2" s="10"/>
      <c r="BN2" s="6"/>
      <c r="BO2" s="324"/>
      <c r="BP2" s="301"/>
      <c r="BQ2" s="325"/>
      <c r="BR2" s="11"/>
      <c r="BS2" s="6"/>
      <c r="BT2" s="324"/>
      <c r="BU2" s="301"/>
      <c r="BV2" s="325"/>
      <c r="BW2" s="11"/>
      <c r="BX2" s="1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</row>
    <row r="3" spans="1:89" ht="17.399999999999999">
      <c r="A3" s="12" t="s">
        <v>16</v>
      </c>
      <c r="B3" s="13">
        <v>0</v>
      </c>
      <c r="C3" s="14" t="s">
        <v>17</v>
      </c>
      <c r="D3" s="13">
        <v>0</v>
      </c>
      <c r="E3" s="12" t="s">
        <v>18</v>
      </c>
      <c r="F3" s="1"/>
      <c r="G3" s="15">
        <v>2</v>
      </c>
      <c r="H3" s="16" t="s">
        <v>17</v>
      </c>
      <c r="I3" s="15">
        <v>1</v>
      </c>
      <c r="J3" s="17">
        <f t="shared" ref="J3:J8" si="0">IF(OR(B3="", D3=""), "-",
  IF(OR(G3="", I3=""), 0,
    IF(AND(G3=B3, I3=D3), 10,
      IF(AND(OR(AND(B3&gt;D3, G3&gt;I3), AND(B3&lt;D3, G3&lt;I3), AND(B3=D3, G3=I3)), OR(G3=B3, I3=D3)), 7,
        IF(OR(AND(B3&gt;D3, G3&gt;I3), AND(B3&lt;D3, G3&lt;I3), AND(B3=D3, G3=I3)), 5,
          IF(OR(G3=B3, I3=D3), 2, 0)
        )
      )
    )
  )
)</f>
        <v>0</v>
      </c>
      <c r="K3" s="18"/>
      <c r="L3" s="15">
        <v>1</v>
      </c>
      <c r="M3" s="16" t="s">
        <v>17</v>
      </c>
      <c r="N3" s="15">
        <v>2</v>
      </c>
      <c r="O3" s="17">
        <f t="shared" ref="O3:O8" si="1">IF(OR(B3="", D3=""), "-",
  IF(OR(L3="", N3=""), 0,
    IF(AND(L3=B3, N3=D3), 10,
      IF(AND(OR(AND(B3&gt;D3, L3&gt;N3), AND(B3&lt;D3, L3&lt;N3), AND(B3=D3, L3=N3)), OR(L3=B3, N3=D3)), 7,
        IF(OR(AND(B3&gt;D3, L3&gt;N3), AND(B3&lt;D3, L3&lt;N3), AND(B3=D3, L3=N3)), 5,
          IF(OR(L3=B3, N3=D3), 2, 0)
        )
      )
    )
  )
)</f>
        <v>0</v>
      </c>
      <c r="P3" s="18"/>
      <c r="Q3" s="15">
        <v>1</v>
      </c>
      <c r="R3" s="16" t="s">
        <v>17</v>
      </c>
      <c r="S3" s="15">
        <v>2</v>
      </c>
      <c r="T3" s="17">
        <f t="shared" ref="T3:T8" si="2">IF(OR(B3="", D3=""), "-",
  IF(OR(Q3="", S3=""), 0,
    IF(AND(Q3=B3, S3=D3), 10,
      IF(AND(OR(AND(B3&gt;D3, Q3&gt;S3), AND(B3&lt;D3, Q3&lt;S3), AND(B3=D3, Q3=S3)), OR(Q3=B3, S3=D3)), 7,
        IF(OR(AND(B3&gt;D3, Q3&gt;S3), AND(B3&lt;D3, Q3&lt;S3), AND(B3=D3, Q3=S3)), 5,
          IF(OR(Q3=B3, S3=D3), 2, 0)
        )
      )
    )
  )
)</f>
        <v>0</v>
      </c>
      <c r="U3" s="18"/>
      <c r="V3" s="15">
        <v>1</v>
      </c>
      <c r="W3" s="16" t="s">
        <v>17</v>
      </c>
      <c r="X3" s="15">
        <v>2</v>
      </c>
      <c r="Y3" s="17">
        <f t="shared" ref="Y3:Y8" si="3">IF(OR(B3="", D3=""), "-",
  IF(OR(V3="", X3=""), 0,
    IF(AND(V3=B3, X3=D3), 10,
      IF(AND(OR(AND(B3&gt;D3, V3&gt;X3), AND(B3&lt;D3, V3&lt;X3), AND(B3=D3, V3=X3)), OR(V3=B3, X3=D3)), 7,
        IF(OR(AND(B3&gt;D3, V3&gt;X3), AND(B3&lt;D3, V3&lt;X3), AND(B3=D3, V3=X3)), 5,
          IF(OR(V3=B3, X3=D3), 2, 0)
        )
      )
    )
  )
)</f>
        <v>0</v>
      </c>
      <c r="Z3" s="18"/>
      <c r="AA3" s="15">
        <v>0</v>
      </c>
      <c r="AB3" s="16" t="s">
        <v>17</v>
      </c>
      <c r="AC3" s="15">
        <v>2</v>
      </c>
      <c r="AD3" s="17">
        <f t="shared" ref="AD3:AD8" si="4">IF(OR(B3="", D3=""), "-",
  IF(OR(AA3="", AC3=""), 0,
    IF(AND(AA3=B3, AC3=D3), 10,
      IF(AND(OR(AND(B3&gt;D3, AA3&gt;AC3), AND(B3&lt;D3, AA3&lt;AC3), AND(B3=D3, AA3=AC3)), OR(AA3=B3, AC3=D3)), 7,
        IF(OR(AND(B3&gt;D3, AA3&gt;AC3), AND(B3&lt;D3, AA3&lt;AC3), AND(B3=D3, AA3=AC3)), 5,
          IF(OR(AA3=B3, AC3=D3), 2, 0)
        )
      )
    )
  )
)</f>
        <v>2</v>
      </c>
      <c r="AE3" s="18"/>
      <c r="AF3" s="15">
        <v>2</v>
      </c>
      <c r="AG3" s="16" t="s">
        <v>17</v>
      </c>
      <c r="AH3" s="15">
        <v>1</v>
      </c>
      <c r="AI3" s="17">
        <f t="shared" ref="AI3:AI8" si="5">IF(OR(B3="", D3=""), "-",
  IF(OR(AF3="", AH3=""), 0,
    IF(AND(AF3=B3, AH3=D3), 10,
      IF(AND(OR(AND(B3&gt;D3, AF3&gt;AH3), AND(B3&lt;D3, AF3&lt;AH3), AND(B3=D3, AF3=AH3)), OR(AF3=B3, AH3=D3)), 7,
        IF(OR(AND(B3&gt;D3, AF3&gt;AH3), AND(B3&lt;D3, AF3&lt;AH3), AND(B3=D3, AF3=AH3)), 5,
          IF(OR(AF3=B3, AH3=D3), 2, 0)
        )
      )
    )
  )
)</f>
        <v>0</v>
      </c>
      <c r="AJ3" s="18"/>
      <c r="AK3" s="15">
        <v>2</v>
      </c>
      <c r="AL3" s="16" t="s">
        <v>17</v>
      </c>
      <c r="AM3" s="15">
        <v>1</v>
      </c>
      <c r="AN3" s="17">
        <f t="shared" ref="AN3:AN8" si="6">IF(OR(B3="", D3=""), "-",
  IF(OR(AK3="", AM3=""), 0,
    IF(AND(AK3=B3, AM3=D3), 10,
      IF(AND(OR(AND(B3&gt;D3, AK3&gt;AM3), AND(B3&lt;D3, AK3&lt;AM3), AND(B3=D3, AK3=AM3)), OR(AK3=B3, AM3=D3)), 7,
        IF(OR(AND(B3&gt;D3, AK3&gt;AM3), AND(B3&lt;D3, AK3&lt;AM3), AND(B3=D3, AK3=AM3)), 5,
          IF(OR(AK3=B3, AM3=D3), 2, 0)
        )
      )
    )
  )
)</f>
        <v>0</v>
      </c>
      <c r="AO3" s="18"/>
      <c r="AP3" s="15"/>
      <c r="AQ3" s="16" t="s">
        <v>17</v>
      </c>
      <c r="AR3" s="15"/>
      <c r="AS3" s="17">
        <f t="shared" ref="AS3:AS8" si="7">IF(OR(B3="", D3=""), "-",
  IF(OR(AP3="", AR3=""), 0,
    IF(AND(AP3=B3, AR3=D3), 10,
      IF(AND(OR(AND(B3&gt;D3, AP3&gt;AR3), AND(B3&lt;D3, AP3&lt;AR3), AND(B3=D3, AP3=AR3)), OR(AP3=B3, AR3=D3)), 7,
        IF(OR(AND(B3&gt;D3, AP3&gt;AR3), AND(B3&lt;D3, AP3&lt;AR3), AND(B3=D3, AP3=AR3)), 5,
          IF(OR(AP3=B3, AR3=D3), 2, 0)
        )
      )
    )
  )
)</f>
        <v>0</v>
      </c>
      <c r="AT3" s="18"/>
      <c r="AU3" s="15">
        <v>1</v>
      </c>
      <c r="AV3" s="16" t="s">
        <v>17</v>
      </c>
      <c r="AW3" s="15">
        <v>0</v>
      </c>
      <c r="AX3" s="17">
        <f t="shared" ref="AX3:AX8" si="8">IF(OR(B3="", D3=""), "-",
  IF(OR(AU3="", AW3=""), 0,
    IF(AND(AU3=B3, AW3=D3), 10,
      IF(AND(OR(AND(B3&gt;D3, AU3&gt;AW3), AND(B3&lt;D3, AU3&lt;AW3), AND(B3=D3, AU3=AW3)), OR(AU3=B3, AW3=D3)), 7,
        IF(OR(AND(B3&gt;D3, AU3&gt;AW3), AND(B3&lt;D3, AU3&lt;AW3), AND(B3=D3, AU3=AW3)), 5,
          IF(OR(AU3=B3, AW3=D3), 2, 0)
        )
      )
    )
  )
)</f>
        <v>2</v>
      </c>
      <c r="AY3" s="5"/>
      <c r="AZ3" s="15">
        <v>0</v>
      </c>
      <c r="BA3" s="16" t="s">
        <v>17</v>
      </c>
      <c r="BB3" s="15">
        <v>0</v>
      </c>
      <c r="BC3" s="17">
        <f t="shared" ref="BC3:BC8" si="9">IF(OR(B3="", D3=""), "-",
  IF(OR(AZ3="", BB3=""), 0,
    IF(AND(AZ3=B3, BB3=D3), 10,
      IF(AND(OR(AND(B3&gt;D3, AZ3&gt;BB3), AND(B3&lt;D3, AZ3&lt;BB3), AND(B3=D3, AZ3=BB3)), OR(AZ3=B3, BB3=D3)), 7,
        IF(OR(AND(B3&gt;D3, AZ3&gt;BB3), AND(B3&lt;D3, AZ3&lt;BB3), AND(B3=D3, AZ3=BB3)), 5,
          IF(OR(AZ3=B3, BB3=D3), 2, 0)
        )
      )
    )
  )
)</f>
        <v>10</v>
      </c>
      <c r="BD3" s="6"/>
      <c r="BE3" s="13">
        <v>1</v>
      </c>
      <c r="BF3" s="14" t="s">
        <v>17</v>
      </c>
      <c r="BG3" s="13">
        <v>2</v>
      </c>
      <c r="BH3" s="19">
        <f t="shared" ref="BH3:BH8" si="10">IF(OR(B3="", D3=""), "-",
  IF(OR(BE3="", BG3=""), 0,
    IF(AND(BE3=B3, BG3=D3), 10,
      IF(AND(OR(AND(B3&gt;D3, BE3&gt;BG3), AND(B3&lt;D3, BE3&lt;BG3), AND(B3=D3, BE3=BG3)), OR(BE3=B3, BG3=D3)), 7,
        IF(OR(AND(B3&gt;D3, BE3&gt;BG3), AND(B3&lt;D3, BE3&lt;BG3), AND(B3=D3, BE3=BG3)), 5,
          IF(OR(BE3=B3, BG3=D3), 2, 0)
        )
      )
    )
  )
)</f>
        <v>0</v>
      </c>
      <c r="BI3" s="6"/>
      <c r="BJ3" s="13">
        <v>2</v>
      </c>
      <c r="BK3" s="14" t="s">
        <v>17</v>
      </c>
      <c r="BL3" s="13">
        <v>1</v>
      </c>
      <c r="BM3" s="19">
        <f t="shared" ref="BM3:BM8" si="11">IF(OR(B3="", D3=""), "-",
  IF(OR(BJ3="", BL3=""), 0,
    IF(AND(BJ3=B3, BL3=D3), 10,
      IF(AND(OR(AND(B3&gt;D3, BJ3&gt;BL3), AND(B3&lt;D3, BJ3&lt;BL3), AND(B3=D3, BJ3=BL3)), OR(BJ3=B3, BL3=D3)), 7,
        IF(OR(AND(B3&gt;D3, BJ3&gt;BL3), AND(B3&lt;D3, BJ3&lt;BL3), AND(B3=D3, BJ3=BL3)), 5,
          IF(OR(BJ3=B3, BL3=D3), 2, 0)
        )
      )
    )
  )
)</f>
        <v>0</v>
      </c>
      <c r="BN3" s="6"/>
      <c r="BO3" s="13">
        <v>2</v>
      </c>
      <c r="BP3" s="14" t="s">
        <v>17</v>
      </c>
      <c r="BQ3" s="13">
        <v>2</v>
      </c>
      <c r="BR3" s="19">
        <f t="shared" ref="BR3:BR8" si="12">IF(OR(B3="", D3=""), "-",
  IF(OR(BO3="", BQ3=""), 0,
    IF(AND(BO3=B3, BQ3=D3), 10,
      IF(AND(OR(AND(B3&gt;D3, BO3&gt;BQ3), AND(B3&lt;D3, BO3&lt;BQ3), AND(B3=D3, BO3=BQ3)), OR(BO3=B3, BQ3=D3)), 7,
        IF(OR(AND(B3&gt;D3, BO3&gt;BQ3), AND(B3&lt;D3, BO3&lt;BQ3), AND(B3=D3, BO3=BQ3)), 5,
          IF(OR(BO3=B3, BQ3=D3), 2, 0)
        )
      )
    )
  )
)</f>
        <v>5</v>
      </c>
      <c r="BS3" s="6"/>
      <c r="BT3" s="13">
        <v>2</v>
      </c>
      <c r="BU3" s="14" t="s">
        <v>17</v>
      </c>
      <c r="BV3" s="13">
        <v>0</v>
      </c>
      <c r="BW3" s="19">
        <f t="shared" ref="BW3:BW8" si="13">IF(OR(B3="", D3=""), "-",
  IF(OR(BT3="", BV3=""), 0,
    IF(AND(BT3=B3, BV3=D3), 10,
      IF(AND(OR(AND(B3&gt;D3, BT3&gt;BV3), AND(B3&lt;D3, BT3&lt;BV3), AND(B3=D3, BT3=BV3)), OR(BT3=B3, BV3=D3)), 7,
        IF(OR(AND(B3&gt;D3, BT3&gt;BV3), AND(B3&lt;D3, BT3&lt;BV3), AND(B3=D3, BT3=BV3)), 5,
          IF(OR(BT3=B3, BV3=D3), 2, 0)
        )
      )
    )
  )
)</f>
        <v>2</v>
      </c>
      <c r="BX3" s="1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</row>
    <row r="4" spans="1:89" ht="17.399999999999999">
      <c r="A4" s="20" t="s">
        <v>19</v>
      </c>
      <c r="B4" s="21">
        <v>0</v>
      </c>
      <c r="C4" s="22" t="s">
        <v>17</v>
      </c>
      <c r="D4" s="21">
        <v>0</v>
      </c>
      <c r="E4" s="20" t="s">
        <v>20</v>
      </c>
      <c r="F4" s="1"/>
      <c r="G4" s="23">
        <v>1</v>
      </c>
      <c r="H4" s="24" t="s">
        <v>17</v>
      </c>
      <c r="I4" s="23">
        <v>0</v>
      </c>
      <c r="J4" s="25">
        <f t="shared" si="0"/>
        <v>2</v>
      </c>
      <c r="K4" s="18"/>
      <c r="L4" s="23">
        <v>2</v>
      </c>
      <c r="M4" s="24" t="s">
        <v>17</v>
      </c>
      <c r="N4" s="23">
        <v>1</v>
      </c>
      <c r="O4" s="25">
        <f t="shared" si="1"/>
        <v>0</v>
      </c>
      <c r="P4" s="18"/>
      <c r="Q4" s="23">
        <v>2</v>
      </c>
      <c r="R4" s="24" t="s">
        <v>17</v>
      </c>
      <c r="S4" s="23">
        <v>1</v>
      </c>
      <c r="T4" s="25">
        <f t="shared" si="2"/>
        <v>0</v>
      </c>
      <c r="U4" s="18"/>
      <c r="V4" s="23">
        <v>1</v>
      </c>
      <c r="W4" s="24" t="s">
        <v>17</v>
      </c>
      <c r="X4" s="23">
        <v>1</v>
      </c>
      <c r="Y4" s="25">
        <f t="shared" si="3"/>
        <v>5</v>
      </c>
      <c r="Z4" s="18"/>
      <c r="AA4" s="23">
        <v>2</v>
      </c>
      <c r="AB4" s="24" t="s">
        <v>17</v>
      </c>
      <c r="AC4" s="23">
        <v>1</v>
      </c>
      <c r="AD4" s="25">
        <f t="shared" si="4"/>
        <v>0</v>
      </c>
      <c r="AE4" s="18"/>
      <c r="AF4" s="23">
        <v>1</v>
      </c>
      <c r="AG4" s="24" t="s">
        <v>17</v>
      </c>
      <c r="AH4" s="23">
        <v>1</v>
      </c>
      <c r="AI4" s="25">
        <f t="shared" si="5"/>
        <v>5</v>
      </c>
      <c r="AJ4" s="18"/>
      <c r="AK4" s="23">
        <v>2</v>
      </c>
      <c r="AL4" s="24" t="s">
        <v>17</v>
      </c>
      <c r="AM4" s="23">
        <v>1</v>
      </c>
      <c r="AN4" s="25">
        <f t="shared" si="6"/>
        <v>0</v>
      </c>
      <c r="AO4" s="18"/>
      <c r="AP4" s="23"/>
      <c r="AQ4" s="24" t="s">
        <v>17</v>
      </c>
      <c r="AR4" s="23"/>
      <c r="AS4" s="25">
        <f t="shared" si="7"/>
        <v>0</v>
      </c>
      <c r="AT4" s="18"/>
      <c r="AU4" s="23">
        <v>1</v>
      </c>
      <c r="AV4" s="24" t="s">
        <v>17</v>
      </c>
      <c r="AW4" s="23">
        <v>1</v>
      </c>
      <c r="AX4" s="25">
        <f t="shared" si="8"/>
        <v>5</v>
      </c>
      <c r="AY4" s="5"/>
      <c r="AZ4" s="23">
        <v>1</v>
      </c>
      <c r="BA4" s="24" t="s">
        <v>17</v>
      </c>
      <c r="BB4" s="23">
        <v>0</v>
      </c>
      <c r="BC4" s="25">
        <f t="shared" si="9"/>
        <v>2</v>
      </c>
      <c r="BD4" s="6"/>
      <c r="BE4" s="21">
        <v>1</v>
      </c>
      <c r="BF4" s="22" t="s">
        <v>17</v>
      </c>
      <c r="BG4" s="21">
        <v>1</v>
      </c>
      <c r="BH4" s="26">
        <f t="shared" si="10"/>
        <v>5</v>
      </c>
      <c r="BI4" s="6"/>
      <c r="BJ4" s="21">
        <v>1</v>
      </c>
      <c r="BK4" s="22" t="s">
        <v>17</v>
      </c>
      <c r="BL4" s="21">
        <v>1</v>
      </c>
      <c r="BM4" s="26">
        <f t="shared" si="11"/>
        <v>5</v>
      </c>
      <c r="BN4" s="6"/>
      <c r="BO4" s="21">
        <v>0</v>
      </c>
      <c r="BP4" s="22" t="s">
        <v>17</v>
      </c>
      <c r="BQ4" s="21">
        <v>0</v>
      </c>
      <c r="BR4" s="26">
        <f t="shared" si="12"/>
        <v>10</v>
      </c>
      <c r="BS4" s="6"/>
      <c r="BT4" s="21">
        <v>1</v>
      </c>
      <c r="BU4" s="22" t="s">
        <v>17</v>
      </c>
      <c r="BV4" s="21">
        <v>0</v>
      </c>
      <c r="BW4" s="26">
        <f t="shared" si="13"/>
        <v>2</v>
      </c>
      <c r="BX4" s="1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</row>
    <row r="5" spans="1:89" ht="17.399999999999999">
      <c r="A5" s="12" t="s">
        <v>19</v>
      </c>
      <c r="B5" s="13">
        <v>2</v>
      </c>
      <c r="C5" s="14" t="s">
        <v>17</v>
      </c>
      <c r="D5" s="13">
        <v>0</v>
      </c>
      <c r="E5" s="12" t="s">
        <v>16</v>
      </c>
      <c r="F5" s="1"/>
      <c r="G5" s="15">
        <v>3</v>
      </c>
      <c r="H5" s="16" t="s">
        <v>17</v>
      </c>
      <c r="I5" s="15">
        <v>2</v>
      </c>
      <c r="J5" s="17">
        <f t="shared" si="0"/>
        <v>5</v>
      </c>
      <c r="K5" s="18"/>
      <c r="L5" s="15">
        <v>2</v>
      </c>
      <c r="M5" s="16" t="s">
        <v>17</v>
      </c>
      <c r="N5" s="15">
        <v>0</v>
      </c>
      <c r="O5" s="17">
        <f t="shared" si="1"/>
        <v>10</v>
      </c>
      <c r="P5" s="18"/>
      <c r="Q5" s="15">
        <v>2</v>
      </c>
      <c r="R5" s="16" t="s">
        <v>17</v>
      </c>
      <c r="S5" s="15">
        <v>0</v>
      </c>
      <c r="T5" s="17">
        <f t="shared" si="2"/>
        <v>10</v>
      </c>
      <c r="U5" s="18"/>
      <c r="V5" s="15">
        <v>2</v>
      </c>
      <c r="W5" s="16" t="s">
        <v>17</v>
      </c>
      <c r="X5" s="15">
        <v>1</v>
      </c>
      <c r="Y5" s="17">
        <f t="shared" si="3"/>
        <v>7</v>
      </c>
      <c r="Z5" s="18"/>
      <c r="AA5" s="15">
        <v>1</v>
      </c>
      <c r="AB5" s="16" t="s">
        <v>17</v>
      </c>
      <c r="AC5" s="15">
        <v>0</v>
      </c>
      <c r="AD5" s="17">
        <f t="shared" si="4"/>
        <v>7</v>
      </c>
      <c r="AE5" s="18"/>
      <c r="AF5" s="15">
        <v>2</v>
      </c>
      <c r="AG5" s="16" t="s">
        <v>17</v>
      </c>
      <c r="AH5" s="15">
        <v>0</v>
      </c>
      <c r="AI5" s="17">
        <f t="shared" si="5"/>
        <v>10</v>
      </c>
      <c r="AJ5" s="18"/>
      <c r="AK5" s="15">
        <v>2</v>
      </c>
      <c r="AL5" s="16" t="s">
        <v>17</v>
      </c>
      <c r="AM5" s="15">
        <v>0</v>
      </c>
      <c r="AN5" s="17">
        <f t="shared" si="6"/>
        <v>10</v>
      </c>
      <c r="AO5" s="18"/>
      <c r="AP5" s="15"/>
      <c r="AQ5" s="16" t="s">
        <v>17</v>
      </c>
      <c r="AR5" s="15"/>
      <c r="AS5" s="17">
        <f t="shared" si="7"/>
        <v>0</v>
      </c>
      <c r="AT5" s="18"/>
      <c r="AU5" s="15">
        <v>2</v>
      </c>
      <c r="AV5" s="16" t="s">
        <v>17</v>
      </c>
      <c r="AW5" s="15">
        <v>1</v>
      </c>
      <c r="AX5" s="17">
        <f t="shared" si="8"/>
        <v>7</v>
      </c>
      <c r="AY5" s="5"/>
      <c r="AZ5" s="15">
        <v>2</v>
      </c>
      <c r="BA5" s="16" t="s">
        <v>17</v>
      </c>
      <c r="BB5" s="15">
        <v>0</v>
      </c>
      <c r="BC5" s="17">
        <f t="shared" si="9"/>
        <v>10</v>
      </c>
      <c r="BD5" s="6"/>
      <c r="BE5" s="13">
        <v>2</v>
      </c>
      <c r="BF5" s="14" t="s">
        <v>17</v>
      </c>
      <c r="BG5" s="13">
        <v>0</v>
      </c>
      <c r="BH5" s="19">
        <f t="shared" si="10"/>
        <v>10</v>
      </c>
      <c r="BI5" s="6"/>
      <c r="BJ5" s="13">
        <v>1</v>
      </c>
      <c r="BK5" s="14" t="s">
        <v>17</v>
      </c>
      <c r="BL5" s="13">
        <v>0</v>
      </c>
      <c r="BM5" s="19">
        <f t="shared" si="11"/>
        <v>7</v>
      </c>
      <c r="BN5" s="6"/>
      <c r="BO5" s="13">
        <v>1</v>
      </c>
      <c r="BP5" s="14" t="s">
        <v>17</v>
      </c>
      <c r="BQ5" s="13">
        <v>0</v>
      </c>
      <c r="BR5" s="19">
        <f t="shared" si="12"/>
        <v>7</v>
      </c>
      <c r="BS5" s="6"/>
      <c r="BT5" s="13">
        <v>0</v>
      </c>
      <c r="BU5" s="14" t="s">
        <v>17</v>
      </c>
      <c r="BV5" s="13">
        <v>2</v>
      </c>
      <c r="BW5" s="19">
        <f t="shared" si="13"/>
        <v>0</v>
      </c>
      <c r="BX5" s="1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</row>
    <row r="6" spans="1:89" ht="17.399999999999999">
      <c r="A6" s="20" t="s">
        <v>18</v>
      </c>
      <c r="B6" s="21">
        <v>2</v>
      </c>
      <c r="C6" s="22" t="s">
        <v>17</v>
      </c>
      <c r="D6" s="21">
        <v>1</v>
      </c>
      <c r="E6" s="20" t="s">
        <v>20</v>
      </c>
      <c r="F6" s="1"/>
      <c r="G6" s="23">
        <v>0</v>
      </c>
      <c r="H6" s="24" t="s">
        <v>17</v>
      </c>
      <c r="I6" s="23">
        <v>1</v>
      </c>
      <c r="J6" s="25">
        <f t="shared" si="0"/>
        <v>2</v>
      </c>
      <c r="K6" s="27"/>
      <c r="L6" s="23">
        <v>2</v>
      </c>
      <c r="M6" s="24" t="s">
        <v>17</v>
      </c>
      <c r="N6" s="23">
        <v>1</v>
      </c>
      <c r="O6" s="25">
        <f t="shared" si="1"/>
        <v>10</v>
      </c>
      <c r="P6" s="27"/>
      <c r="Q6" s="23">
        <v>1</v>
      </c>
      <c r="R6" s="24" t="s">
        <v>17</v>
      </c>
      <c r="S6" s="23">
        <v>1</v>
      </c>
      <c r="T6" s="25">
        <f t="shared" si="2"/>
        <v>2</v>
      </c>
      <c r="U6" s="27"/>
      <c r="V6" s="23">
        <v>2</v>
      </c>
      <c r="W6" s="24" t="s">
        <v>17</v>
      </c>
      <c r="X6" s="23">
        <v>2</v>
      </c>
      <c r="Y6" s="25">
        <f t="shared" si="3"/>
        <v>2</v>
      </c>
      <c r="Z6" s="27"/>
      <c r="AA6" s="23">
        <v>2</v>
      </c>
      <c r="AB6" s="24" t="s">
        <v>17</v>
      </c>
      <c r="AC6" s="23">
        <v>2</v>
      </c>
      <c r="AD6" s="25">
        <f t="shared" si="4"/>
        <v>2</v>
      </c>
      <c r="AE6" s="18"/>
      <c r="AF6" s="23">
        <v>1</v>
      </c>
      <c r="AG6" s="24" t="s">
        <v>17</v>
      </c>
      <c r="AH6" s="23">
        <v>2</v>
      </c>
      <c r="AI6" s="25">
        <f t="shared" si="5"/>
        <v>0</v>
      </c>
      <c r="AJ6" s="27"/>
      <c r="AK6" s="23">
        <v>1</v>
      </c>
      <c r="AL6" s="24" t="s">
        <v>17</v>
      </c>
      <c r="AM6" s="23">
        <v>3</v>
      </c>
      <c r="AN6" s="25">
        <f t="shared" si="6"/>
        <v>0</v>
      </c>
      <c r="AO6" s="27"/>
      <c r="AP6" s="28"/>
      <c r="AQ6" s="24" t="s">
        <v>17</v>
      </c>
      <c r="AR6" s="28"/>
      <c r="AS6" s="25">
        <f t="shared" si="7"/>
        <v>0</v>
      </c>
      <c r="AT6" s="18"/>
      <c r="AU6" s="23">
        <v>0</v>
      </c>
      <c r="AV6" s="24" t="s">
        <v>17</v>
      </c>
      <c r="AW6" s="23">
        <v>3</v>
      </c>
      <c r="AX6" s="25">
        <f t="shared" si="8"/>
        <v>0</v>
      </c>
      <c r="AY6" s="5"/>
      <c r="AZ6" s="23">
        <v>0</v>
      </c>
      <c r="BA6" s="24" t="s">
        <v>17</v>
      </c>
      <c r="BB6" s="23">
        <v>1</v>
      </c>
      <c r="BC6" s="25">
        <f t="shared" si="9"/>
        <v>2</v>
      </c>
      <c r="BD6" s="6"/>
      <c r="BE6" s="21">
        <v>0</v>
      </c>
      <c r="BF6" s="22" t="s">
        <v>17</v>
      </c>
      <c r="BG6" s="21">
        <v>1</v>
      </c>
      <c r="BH6" s="26">
        <f t="shared" si="10"/>
        <v>2</v>
      </c>
      <c r="BI6" s="6"/>
      <c r="BJ6" s="21">
        <v>1</v>
      </c>
      <c r="BK6" s="22" t="s">
        <v>17</v>
      </c>
      <c r="BL6" s="21">
        <v>2</v>
      </c>
      <c r="BM6" s="26">
        <f t="shared" si="11"/>
        <v>0</v>
      </c>
      <c r="BN6" s="6"/>
      <c r="BO6" s="21">
        <v>2</v>
      </c>
      <c r="BP6" s="22" t="s">
        <v>17</v>
      </c>
      <c r="BQ6" s="21">
        <v>1</v>
      </c>
      <c r="BR6" s="26">
        <f t="shared" si="12"/>
        <v>10</v>
      </c>
      <c r="BS6" s="6"/>
      <c r="BT6" s="21">
        <v>1</v>
      </c>
      <c r="BU6" s="22" t="s">
        <v>17</v>
      </c>
      <c r="BV6" s="21">
        <v>1</v>
      </c>
      <c r="BW6" s="26">
        <f t="shared" si="13"/>
        <v>2</v>
      </c>
      <c r="BX6" s="1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</row>
    <row r="7" spans="1:89" ht="17.399999999999999">
      <c r="A7" s="12" t="s">
        <v>18</v>
      </c>
      <c r="B7" s="13">
        <v>2</v>
      </c>
      <c r="C7" s="14" t="s">
        <v>17</v>
      </c>
      <c r="D7" s="13">
        <v>2</v>
      </c>
      <c r="E7" s="12" t="s">
        <v>19</v>
      </c>
      <c r="F7" s="1"/>
      <c r="G7" s="15">
        <v>2</v>
      </c>
      <c r="H7" s="16" t="s">
        <v>17</v>
      </c>
      <c r="I7" s="15">
        <v>2</v>
      </c>
      <c r="J7" s="17">
        <f t="shared" si="0"/>
        <v>10</v>
      </c>
      <c r="K7" s="27"/>
      <c r="L7" s="15">
        <v>2</v>
      </c>
      <c r="M7" s="16" t="s">
        <v>17</v>
      </c>
      <c r="N7" s="15">
        <v>2</v>
      </c>
      <c r="O7" s="17">
        <f t="shared" si="1"/>
        <v>10</v>
      </c>
      <c r="P7" s="27"/>
      <c r="Q7" s="15">
        <v>1</v>
      </c>
      <c r="R7" s="16" t="s">
        <v>17</v>
      </c>
      <c r="S7" s="15">
        <v>2</v>
      </c>
      <c r="T7" s="17">
        <f t="shared" si="2"/>
        <v>2</v>
      </c>
      <c r="U7" s="27"/>
      <c r="V7" s="15">
        <v>3</v>
      </c>
      <c r="W7" s="16" t="s">
        <v>17</v>
      </c>
      <c r="X7" s="15">
        <v>3</v>
      </c>
      <c r="Y7" s="17">
        <f t="shared" si="3"/>
        <v>5</v>
      </c>
      <c r="Z7" s="27"/>
      <c r="AA7" s="15">
        <v>0</v>
      </c>
      <c r="AB7" s="16" t="s">
        <v>17</v>
      </c>
      <c r="AC7" s="15">
        <v>1</v>
      </c>
      <c r="AD7" s="17">
        <f t="shared" si="4"/>
        <v>0</v>
      </c>
      <c r="AE7" s="18"/>
      <c r="AF7" s="15">
        <v>1</v>
      </c>
      <c r="AG7" s="16" t="s">
        <v>17</v>
      </c>
      <c r="AH7" s="15">
        <v>3</v>
      </c>
      <c r="AI7" s="17">
        <f t="shared" si="5"/>
        <v>0</v>
      </c>
      <c r="AJ7" s="27"/>
      <c r="AK7" s="15">
        <v>0</v>
      </c>
      <c r="AL7" s="16" t="s">
        <v>17</v>
      </c>
      <c r="AM7" s="15">
        <v>2</v>
      </c>
      <c r="AN7" s="17">
        <f t="shared" si="6"/>
        <v>2</v>
      </c>
      <c r="AO7" s="27"/>
      <c r="AP7" s="29"/>
      <c r="AQ7" s="16" t="s">
        <v>17</v>
      </c>
      <c r="AR7" s="29"/>
      <c r="AS7" s="17">
        <f t="shared" si="7"/>
        <v>0</v>
      </c>
      <c r="AT7" s="18"/>
      <c r="AU7" s="15">
        <v>1</v>
      </c>
      <c r="AV7" s="16" t="s">
        <v>17</v>
      </c>
      <c r="AW7" s="15">
        <v>2</v>
      </c>
      <c r="AX7" s="17">
        <f t="shared" si="8"/>
        <v>2</v>
      </c>
      <c r="AY7" s="5"/>
      <c r="AZ7" s="15">
        <v>1</v>
      </c>
      <c r="BA7" s="16" t="s">
        <v>17</v>
      </c>
      <c r="BB7" s="15">
        <v>2</v>
      </c>
      <c r="BC7" s="17">
        <f t="shared" si="9"/>
        <v>2</v>
      </c>
      <c r="BD7" s="6"/>
      <c r="BE7" s="13">
        <v>2</v>
      </c>
      <c r="BF7" s="14" t="s">
        <v>17</v>
      </c>
      <c r="BG7" s="13">
        <v>0</v>
      </c>
      <c r="BH7" s="19">
        <f t="shared" si="10"/>
        <v>2</v>
      </c>
      <c r="BI7" s="6"/>
      <c r="BJ7" s="13">
        <v>0</v>
      </c>
      <c r="BK7" s="14" t="s">
        <v>17</v>
      </c>
      <c r="BL7" s="13">
        <v>1</v>
      </c>
      <c r="BM7" s="19">
        <f t="shared" si="11"/>
        <v>0</v>
      </c>
      <c r="BN7" s="6"/>
      <c r="BO7" s="13">
        <v>0</v>
      </c>
      <c r="BP7" s="14" t="s">
        <v>17</v>
      </c>
      <c r="BQ7" s="13">
        <v>2</v>
      </c>
      <c r="BR7" s="19">
        <f t="shared" si="12"/>
        <v>2</v>
      </c>
      <c r="BS7" s="6"/>
      <c r="BT7" s="13">
        <v>2</v>
      </c>
      <c r="BU7" s="14" t="s">
        <v>17</v>
      </c>
      <c r="BV7" s="13">
        <v>1</v>
      </c>
      <c r="BW7" s="19">
        <f t="shared" si="13"/>
        <v>2</v>
      </c>
      <c r="BX7" s="1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</row>
    <row r="8" spans="1:89" ht="17.399999999999999">
      <c r="A8" s="20" t="s">
        <v>20</v>
      </c>
      <c r="B8" s="21">
        <v>4</v>
      </c>
      <c r="C8" s="22" t="s">
        <v>17</v>
      </c>
      <c r="D8" s="21">
        <v>4</v>
      </c>
      <c r="E8" s="20" t="s">
        <v>16</v>
      </c>
      <c r="F8" s="1"/>
      <c r="G8" s="23">
        <v>1</v>
      </c>
      <c r="H8" s="24" t="s">
        <v>17</v>
      </c>
      <c r="I8" s="23">
        <v>3</v>
      </c>
      <c r="J8" s="25">
        <f t="shared" si="0"/>
        <v>0</v>
      </c>
      <c r="K8" s="27"/>
      <c r="L8" s="23">
        <v>2</v>
      </c>
      <c r="M8" s="24" t="s">
        <v>17</v>
      </c>
      <c r="N8" s="23">
        <v>1</v>
      </c>
      <c r="O8" s="25">
        <f t="shared" si="1"/>
        <v>0</v>
      </c>
      <c r="P8" s="27"/>
      <c r="Q8" s="23">
        <v>2</v>
      </c>
      <c r="R8" s="24" t="s">
        <v>17</v>
      </c>
      <c r="S8" s="23">
        <v>0</v>
      </c>
      <c r="T8" s="25">
        <f t="shared" si="2"/>
        <v>0</v>
      </c>
      <c r="U8" s="27"/>
      <c r="V8" s="23">
        <v>2</v>
      </c>
      <c r="W8" s="24" t="s">
        <v>17</v>
      </c>
      <c r="X8" s="23">
        <v>1</v>
      </c>
      <c r="Y8" s="25">
        <f t="shared" si="3"/>
        <v>0</v>
      </c>
      <c r="Z8" s="27"/>
      <c r="AA8" s="23">
        <v>3</v>
      </c>
      <c r="AB8" s="24" t="s">
        <v>17</v>
      </c>
      <c r="AC8" s="23">
        <v>1</v>
      </c>
      <c r="AD8" s="25">
        <f t="shared" si="4"/>
        <v>0</v>
      </c>
      <c r="AE8" s="18"/>
      <c r="AF8" s="23">
        <v>3</v>
      </c>
      <c r="AG8" s="24" t="s">
        <v>17</v>
      </c>
      <c r="AH8" s="23">
        <v>2</v>
      </c>
      <c r="AI8" s="25">
        <f t="shared" si="5"/>
        <v>0</v>
      </c>
      <c r="AJ8" s="27"/>
      <c r="AK8" s="23">
        <v>1</v>
      </c>
      <c r="AL8" s="24" t="s">
        <v>17</v>
      </c>
      <c r="AM8" s="23">
        <v>1</v>
      </c>
      <c r="AN8" s="25">
        <f t="shared" si="6"/>
        <v>5</v>
      </c>
      <c r="AO8" s="27"/>
      <c r="AP8" s="28"/>
      <c r="AQ8" s="24" t="s">
        <v>17</v>
      </c>
      <c r="AR8" s="28"/>
      <c r="AS8" s="25">
        <f t="shared" si="7"/>
        <v>0</v>
      </c>
      <c r="AT8" s="18"/>
      <c r="AU8" s="23">
        <v>2</v>
      </c>
      <c r="AV8" s="24" t="s">
        <v>17</v>
      </c>
      <c r="AW8" s="23">
        <v>0</v>
      </c>
      <c r="AX8" s="25">
        <f t="shared" si="8"/>
        <v>0</v>
      </c>
      <c r="AY8" s="5"/>
      <c r="AZ8" s="23">
        <v>2</v>
      </c>
      <c r="BA8" s="24" t="s">
        <v>17</v>
      </c>
      <c r="BB8" s="23">
        <v>1</v>
      </c>
      <c r="BC8" s="25">
        <f t="shared" si="9"/>
        <v>0</v>
      </c>
      <c r="BD8" s="6"/>
      <c r="BE8" s="21">
        <v>1</v>
      </c>
      <c r="BF8" s="22" t="s">
        <v>17</v>
      </c>
      <c r="BG8" s="21">
        <v>1</v>
      </c>
      <c r="BH8" s="26">
        <f t="shared" si="10"/>
        <v>5</v>
      </c>
      <c r="BI8" s="6"/>
      <c r="BJ8" s="21">
        <v>0</v>
      </c>
      <c r="BK8" s="22" t="s">
        <v>17</v>
      </c>
      <c r="BL8" s="21">
        <v>2</v>
      </c>
      <c r="BM8" s="26">
        <f t="shared" si="11"/>
        <v>0</v>
      </c>
      <c r="BN8" s="6"/>
      <c r="BO8" s="21">
        <v>2</v>
      </c>
      <c r="BP8" s="22" t="s">
        <v>17</v>
      </c>
      <c r="BQ8" s="21">
        <v>0</v>
      </c>
      <c r="BR8" s="26">
        <f t="shared" si="12"/>
        <v>0</v>
      </c>
      <c r="BS8" s="6"/>
      <c r="BT8" s="21">
        <v>0</v>
      </c>
      <c r="BU8" s="22" t="s">
        <v>17</v>
      </c>
      <c r="BV8" s="21">
        <v>2</v>
      </c>
      <c r="BW8" s="26">
        <f t="shared" si="13"/>
        <v>0</v>
      </c>
      <c r="BX8" s="1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</row>
    <row r="9" spans="1:89" ht="17.399999999999999">
      <c r="A9" s="30"/>
      <c r="B9" s="30"/>
      <c r="C9" s="31"/>
      <c r="D9" s="30"/>
      <c r="E9" s="30"/>
      <c r="F9" s="1"/>
      <c r="G9" s="326">
        <f>SUM(J3:J8)</f>
        <v>19</v>
      </c>
      <c r="H9" s="301"/>
      <c r="I9" s="301"/>
      <c r="J9" s="32"/>
      <c r="K9" s="33"/>
      <c r="L9" s="326">
        <f>SUM(O3:O8)</f>
        <v>30</v>
      </c>
      <c r="M9" s="301"/>
      <c r="N9" s="301"/>
      <c r="O9" s="32"/>
      <c r="P9" s="33"/>
      <c r="Q9" s="326">
        <f>SUM(T3:T8)</f>
        <v>14</v>
      </c>
      <c r="R9" s="301"/>
      <c r="S9" s="301"/>
      <c r="T9" s="32"/>
      <c r="U9" s="33"/>
      <c r="V9" s="326">
        <f>SUM(Y3:Y8)</f>
        <v>19</v>
      </c>
      <c r="W9" s="301"/>
      <c r="X9" s="301"/>
      <c r="Y9" s="32"/>
      <c r="Z9" s="33"/>
      <c r="AA9" s="326">
        <f>SUM(AD3:AD8)</f>
        <v>11</v>
      </c>
      <c r="AB9" s="301"/>
      <c r="AC9" s="301"/>
      <c r="AD9" s="32"/>
      <c r="AE9" s="33"/>
      <c r="AF9" s="326">
        <f>SUM(AI3:AI8)</f>
        <v>15</v>
      </c>
      <c r="AG9" s="301"/>
      <c r="AH9" s="301"/>
      <c r="AI9" s="32"/>
      <c r="AJ9" s="33"/>
      <c r="AK9" s="326">
        <f>SUM(AN3:AN8)</f>
        <v>17</v>
      </c>
      <c r="AL9" s="301"/>
      <c r="AM9" s="301"/>
      <c r="AN9" s="32"/>
      <c r="AO9" s="33"/>
      <c r="AP9" s="326">
        <f>SUM(AS3:AS8)</f>
        <v>0</v>
      </c>
      <c r="AQ9" s="301"/>
      <c r="AR9" s="301"/>
      <c r="AS9" s="34"/>
      <c r="AT9" s="33"/>
      <c r="AU9" s="326">
        <f>SUM(AX3:AX8)</f>
        <v>16</v>
      </c>
      <c r="AV9" s="301"/>
      <c r="AW9" s="301"/>
      <c r="AX9" s="35"/>
      <c r="AY9" s="5"/>
      <c r="AZ9" s="326">
        <f>SUM(BC3:BC8)</f>
        <v>26</v>
      </c>
      <c r="BA9" s="301"/>
      <c r="BB9" s="301"/>
      <c r="BC9" s="35"/>
      <c r="BD9" s="6"/>
      <c r="BE9" s="326">
        <f>SUM(BH3:BH8)</f>
        <v>24</v>
      </c>
      <c r="BF9" s="301"/>
      <c r="BG9" s="301"/>
      <c r="BH9" s="35"/>
      <c r="BI9" s="6"/>
      <c r="BJ9" s="326">
        <f>SUM(BM3:BM8)</f>
        <v>12</v>
      </c>
      <c r="BK9" s="301"/>
      <c r="BL9" s="301"/>
      <c r="BM9" s="35"/>
      <c r="BN9" s="6"/>
      <c r="BO9" s="326">
        <f>SUM(BR3:BR8)</f>
        <v>34</v>
      </c>
      <c r="BP9" s="301"/>
      <c r="BQ9" s="301"/>
      <c r="BR9" s="35"/>
      <c r="BS9" s="6"/>
      <c r="BT9" s="326">
        <f>SUM(BW3:BW8)</f>
        <v>8</v>
      </c>
      <c r="BU9" s="301"/>
      <c r="BV9" s="301"/>
      <c r="BW9" s="35"/>
      <c r="BX9" s="1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</row>
    <row r="10" spans="1:89" ht="17.399999999999999">
      <c r="A10" s="328" t="s">
        <v>21</v>
      </c>
      <c r="B10" s="301"/>
      <c r="C10" s="301"/>
      <c r="D10" s="301"/>
      <c r="E10" s="301"/>
      <c r="F10" s="1"/>
      <c r="G10" s="37"/>
      <c r="H10" s="38"/>
      <c r="I10" s="38"/>
      <c r="J10" s="39"/>
      <c r="K10" s="40"/>
      <c r="L10" s="37"/>
      <c r="M10" s="38"/>
      <c r="N10" s="38"/>
      <c r="O10" s="39"/>
      <c r="P10" s="40"/>
      <c r="Q10" s="37"/>
      <c r="R10" s="38"/>
      <c r="S10" s="38"/>
      <c r="T10" s="39"/>
      <c r="U10" s="40"/>
      <c r="V10" s="37"/>
      <c r="W10" s="38"/>
      <c r="X10" s="38"/>
      <c r="Y10" s="39"/>
      <c r="Z10" s="40"/>
      <c r="AA10" s="37"/>
      <c r="AB10" s="38"/>
      <c r="AC10" s="38"/>
      <c r="AD10" s="39"/>
      <c r="AE10" s="40"/>
      <c r="AF10" s="37"/>
      <c r="AG10" s="38"/>
      <c r="AH10" s="38"/>
      <c r="AI10" s="39"/>
      <c r="AJ10" s="40"/>
      <c r="AK10" s="37"/>
      <c r="AL10" s="38"/>
      <c r="AM10" s="38"/>
      <c r="AN10" s="39"/>
      <c r="AO10" s="40"/>
      <c r="AP10" s="37"/>
      <c r="AQ10" s="38"/>
      <c r="AR10" s="38"/>
      <c r="AS10" s="39"/>
      <c r="AT10" s="34"/>
      <c r="AU10" s="41"/>
      <c r="AV10" s="42"/>
      <c r="AW10" s="42"/>
      <c r="AX10" s="39"/>
      <c r="AY10" s="5"/>
      <c r="AZ10" s="37"/>
      <c r="BA10" s="38"/>
      <c r="BB10" s="38"/>
      <c r="BC10" s="39"/>
      <c r="BD10" s="6"/>
      <c r="BE10" s="37"/>
      <c r="BF10" s="38"/>
      <c r="BG10" s="38"/>
      <c r="BH10" s="43"/>
      <c r="BI10" s="6"/>
      <c r="BJ10" s="37"/>
      <c r="BK10" s="38"/>
      <c r="BL10" s="38"/>
      <c r="BM10" s="43"/>
      <c r="BN10" s="6"/>
      <c r="BO10" s="37"/>
      <c r="BP10" s="38"/>
      <c r="BQ10" s="38"/>
      <c r="BR10" s="43"/>
      <c r="BS10" s="6"/>
      <c r="BT10" s="37"/>
      <c r="BU10" s="38"/>
      <c r="BV10" s="38"/>
      <c r="BW10" s="43"/>
      <c r="BX10" s="1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</row>
    <row r="11" spans="1:89" ht="17.399999999999999">
      <c r="A11" s="12" t="s">
        <v>22</v>
      </c>
      <c r="B11" s="13">
        <v>4</v>
      </c>
      <c r="C11" s="14" t="s">
        <v>17</v>
      </c>
      <c r="D11" s="13">
        <v>0</v>
      </c>
      <c r="E11" s="12" t="s">
        <v>23</v>
      </c>
      <c r="F11" s="1"/>
      <c r="G11" s="13">
        <v>1</v>
      </c>
      <c r="H11" s="14" t="s">
        <v>17</v>
      </c>
      <c r="I11" s="13">
        <v>0</v>
      </c>
      <c r="J11" s="17">
        <f t="shared" ref="J11:J16" si="14">IF(OR(B11="", D11=""), "-",
  IF(OR(G11="", I11=""), 0,
    IF(AND(G11=B11, I11=D11), 10,
      IF(AND(OR(AND(B11&gt;D11, G11&gt;I11), AND(B11&lt;D11, G11&lt;I11), AND(B11=D11, G11=I11)), OR(G11=B11, I11=D11)), 7,
        IF(OR(AND(B11&gt;D11, G11&gt;I11), AND(B11&lt;D11, G11&lt;I11), AND(B11=D11, G11=I11)), 5,
          IF(OR(G11=B11, I11=D11), 2, 0)
        )
      )
    )
  )
)</f>
        <v>7</v>
      </c>
      <c r="K11" s="44"/>
      <c r="L11" s="13">
        <v>2</v>
      </c>
      <c r="M11" s="14" t="s">
        <v>17</v>
      </c>
      <c r="N11" s="13">
        <v>1</v>
      </c>
      <c r="O11" s="17">
        <f t="shared" ref="O11:O16" si="15">IF(OR(B11="", D11=""), "-",
  IF(OR(L11="", N11=""), 0,
    IF(AND(L11=B11, N11=D11), 10,
      IF(AND(OR(AND(B11&gt;D11, L11&gt;N11), AND(B11&lt;D11, L11&lt;N11), AND(B11=D11, L11=N11)), OR(L11=B11, N11=D11)), 7,
        IF(OR(AND(B11&gt;D11, L11&gt;N11), AND(B11&lt;D11, L11&lt;N11), AND(B11=D11, L11=N11)), 5,
          IF(OR(L11=B11, N11=D11), 2, 0)
        )
      )
    )
  )
)</f>
        <v>5</v>
      </c>
      <c r="P11" s="44"/>
      <c r="Q11" s="13">
        <v>1</v>
      </c>
      <c r="R11" s="14" t="s">
        <v>17</v>
      </c>
      <c r="S11" s="13">
        <v>1</v>
      </c>
      <c r="T11" s="17">
        <f t="shared" ref="T11:T16" si="16">IF(OR(B11="", D11=""), "-",
  IF(OR(Q11="", S11=""), 0,
    IF(AND(Q11=B11, S11=D11), 10,
      IF(AND(OR(AND(B11&gt;D11, Q11&gt;S11), AND(B11&lt;D11, Q11&lt;S11), AND(B11=D11, Q11=S11)), OR(Q11=B11, S11=D11)), 7,
        IF(OR(AND(B11&gt;D11, Q11&gt;S11), AND(B11&lt;D11, Q11&lt;S11), AND(B11=D11, Q11=S11)), 5,
          IF(OR(Q11=B11, S11=D11), 2, 0)
        )
      )
    )
  )
)</f>
        <v>0</v>
      </c>
      <c r="U11" s="44"/>
      <c r="V11" s="13">
        <v>3</v>
      </c>
      <c r="W11" s="14" t="s">
        <v>17</v>
      </c>
      <c r="X11" s="13">
        <v>2</v>
      </c>
      <c r="Y11" s="17">
        <f t="shared" ref="Y11:Y16" si="17">IF(OR(B11="", D11=""), "-",
  IF(OR(V11="", X11=""), 0,
    IF(AND(V11=B11, X11=D11), 10,
      IF(AND(OR(AND(B11&gt;D11, V11&gt;X11), AND(B11&lt;D11, V11&lt;X11), AND(B11=D11, V11=X11)), OR(V11=B11, X11=D11)), 7,
        IF(OR(AND(B11&gt;D11, V11&gt;X11), AND(B11&lt;D11, V11&lt;X11), AND(B11=D11, V11=X11)), 5,
          IF(OR(V11=B11, X11=D11), 2, 0)
        )
      )
    )
  )
)</f>
        <v>5</v>
      </c>
      <c r="Z11" s="44"/>
      <c r="AA11" s="13">
        <v>3</v>
      </c>
      <c r="AB11" s="14" t="s">
        <v>17</v>
      </c>
      <c r="AC11" s="13">
        <v>2</v>
      </c>
      <c r="AD11" s="17">
        <f t="shared" ref="AD11:AD16" si="18">IF(OR(B11="", D11=""), "-",
  IF(OR(AA11="", AC11=""), 0,
    IF(AND(AA11=B11, AC11=D11), 10,
      IF(AND(OR(AND(B11&gt;D11, AA11&gt;AC11), AND(B11&lt;D11, AA11&lt;AC11), AND(B11=D11, AA11=AC11)), OR(AA11=B11, AC11=D11)), 7,
        IF(OR(AND(B11&gt;D11, AA11&gt;AC11), AND(B11&lt;D11, AA11&lt;AC11), AND(B11=D11, AA11=AC11)), 5,
          IF(OR(AA11=B11, AC11=D11), 2, 0)
        )
      )
    )
  )
)</f>
        <v>5</v>
      </c>
      <c r="AE11" s="44"/>
      <c r="AF11" s="13">
        <v>2</v>
      </c>
      <c r="AG11" s="14" t="s">
        <v>17</v>
      </c>
      <c r="AH11" s="13">
        <v>0</v>
      </c>
      <c r="AI11" s="17">
        <f t="shared" ref="AI11:AI16" si="19">IF(OR(B11="", D11=""), "-",
  IF(OR(AF11="", AH11=""), 0,
    IF(AND(AF11=B11, AH11=D11), 10,
      IF(AND(OR(AND(B11&gt;D11, AF11&gt;AH11), AND(B11&lt;D11, AF11&lt;AH11), AND(B11=D11, AF11=AH11)), OR(AF11=B11, AH11=D11)), 7,
        IF(OR(AND(B11&gt;D11, AF11&gt;AH11), AND(B11&lt;D11, AF11&lt;AH11), AND(B11=D11, AF11=AH11)), 5,
          IF(OR(AF11=B11, AH11=D11), 2, 0)
        )
      )
    )
  )
)</f>
        <v>7</v>
      </c>
      <c r="AJ11" s="44"/>
      <c r="AK11" s="13">
        <v>2</v>
      </c>
      <c r="AL11" s="14" t="s">
        <v>17</v>
      </c>
      <c r="AM11" s="13">
        <v>1</v>
      </c>
      <c r="AN11" s="17">
        <f t="shared" ref="AN11:AN16" si="20">IF(OR(B11="", D11=""), "-",
  IF(OR(AK11="", AM11=""), 0,
    IF(AND(AK11=B11, AM11=D11), 10,
      IF(AND(OR(AND(B11&gt;D11, AK11&gt;AM11), AND(B11&lt;D11, AK11&lt;AM11), AND(B11=D11, AK11=AM11)), OR(AK11=B11, AM11=D11)), 7,
        IF(OR(AND(B11&gt;D11, AK11&gt;AM11), AND(B11&lt;D11, AK11&lt;AM11), AND(B11=D11, AK11=AM11)), 5,
          IF(OR(AK11=B11, AM11=D11), 2, 0)
        )
      )
    )
  )
)</f>
        <v>5</v>
      </c>
      <c r="AO11" s="44"/>
      <c r="AP11" s="13"/>
      <c r="AQ11" s="14" t="s">
        <v>17</v>
      </c>
      <c r="AR11" s="13"/>
      <c r="AS11" s="17">
        <f t="shared" ref="AS11:AS16" si="21">IF(OR(B11="", D11=""), "-",
  IF(OR(AP11="", AR11=""), 0,
    IF(AND(AP11=B11, AR11=D11), 10,
      IF(AND(OR(AND(B11&gt;D11, AP11&gt;AR11), AND(B11&lt;D11, AP11&lt;AR11), AND(B11=D11, AP11=AR11)), OR(AP11=B11, AR11=D11)), 7,
        IF(OR(AND(B11&gt;D11, AP11&gt;AR11), AND(B11&lt;D11, AP11&lt;AR11), AND(B11=D11, AP11=AR11)), 5,
          IF(OR(AP11=B11, AR11=D11), 2, 0)
        )
      )
    )
  )
)</f>
        <v>0</v>
      </c>
      <c r="AT11" s="44"/>
      <c r="AU11" s="13">
        <v>1</v>
      </c>
      <c r="AV11" s="14" t="s">
        <v>17</v>
      </c>
      <c r="AW11" s="13">
        <v>0</v>
      </c>
      <c r="AX11" s="17">
        <f t="shared" ref="AX11:AX16" si="22">IF(OR(B11="", D11=""), "-",
  IF(OR(AU11="", AW11=""), 0,
    IF(AND(AU11=B11, AW11=D11), 10,
      IF(AND(OR(AND(B11&gt;D11, AU11&gt;AW11), AND(B11&lt;D11, AU11&lt;AW11), AND(B11=D11, AU11=AW11)), OR(AU11=B11, AW11=D11)), 7,
        IF(OR(AND(B11&gt;D11, AU11&gt;AW11), AND(B11&lt;D11, AU11&lt;AW11), AND(B11=D11, AU11=AW11)), 5,
          IF(OR(AU11=B11, AW11=D11), 2, 0)
        )
      )
    )
  )
)</f>
        <v>7</v>
      </c>
      <c r="AY11" s="5"/>
      <c r="AZ11" s="13">
        <v>1</v>
      </c>
      <c r="BA11" s="14" t="s">
        <v>17</v>
      </c>
      <c r="BB11" s="13">
        <v>1</v>
      </c>
      <c r="BC11" s="17">
        <f t="shared" ref="BC11:BC16" si="23">IF(OR(B11="", D11=""), "-",
  IF(OR(AZ11="", BB11=""), 0,
    IF(AND(AZ11=B11, BB11=D11), 10,
      IF(AND(OR(AND(B11&gt;D11, AZ11&gt;BB11), AND(B11&lt;D11, AZ11&lt;BB11), AND(B11=D11, AZ11=BB11)), OR(AZ11=B11, BB11=D11)), 7,
        IF(OR(AND(B11&gt;D11, AZ11&gt;BB11), AND(B11&lt;D11, AZ11&lt;BB11), AND(B11=D11, AZ11=BB11)), 5,
          IF(OR(AZ11=B11, BB11=D11), 2, 0)
        )
      )
    )
  )
)</f>
        <v>0</v>
      </c>
      <c r="BD11" s="6"/>
      <c r="BE11" s="13">
        <v>2</v>
      </c>
      <c r="BF11" s="14" t="s">
        <v>17</v>
      </c>
      <c r="BG11" s="13">
        <v>2</v>
      </c>
      <c r="BH11" s="19">
        <f t="shared" ref="BH11:BH16" si="24">IF(OR(B11="", D11=""), "-",
  IF(OR(BE11="", BG11=""), 0,
    IF(AND(BE11=B11, BG11=D11), 10,
      IF(AND(OR(AND(B11&gt;D11, BE11&gt;BG11), AND(B11&lt;D11, BE11&lt;BG11), AND(B11=D11, BE11=BG11)), OR(BE11=B11, BG11=D11)), 7,
        IF(OR(AND(B11&gt;D11, BE11&gt;BG11), AND(B11&lt;D11, BE11&lt;BG11), AND(B11=D11, BE11=BG11)), 5,
          IF(OR(BE11=B11, BG11=D11), 2, 0)
        )
      )
    )
  )
)</f>
        <v>0</v>
      </c>
      <c r="BI11" s="6"/>
      <c r="BJ11" s="13">
        <v>2</v>
      </c>
      <c r="BK11" s="14" t="s">
        <v>17</v>
      </c>
      <c r="BL11" s="13">
        <v>2</v>
      </c>
      <c r="BM11" s="19">
        <f t="shared" ref="BM11:BM16" si="25">IF(OR(B11="", D11=""), "-",
  IF(OR(BJ11="", BL11=""), 0,
    IF(AND(BJ11=B11, BL11=D11), 10,
      IF(AND(OR(AND(B11&gt;D11, BJ11&gt;BL11), AND(B11&lt;D11, BJ11&lt;BL11), AND(B11=D11, BJ11=BL11)), OR(BJ11=B11, BL11=D11)), 7,
        IF(OR(AND(B11&gt;D11, BJ11&gt;BL11), AND(B11&lt;D11, BJ11&lt;BL11), AND(B11=D11, BJ11=BL11)), 5,
          IF(OR(BJ11=B11, BL11=D11), 2, 0)
        )
      )
    )
  )
)</f>
        <v>0</v>
      </c>
      <c r="BN11" s="6"/>
      <c r="BO11" s="13">
        <v>2</v>
      </c>
      <c r="BP11" s="14" t="s">
        <v>17</v>
      </c>
      <c r="BQ11" s="13">
        <v>1</v>
      </c>
      <c r="BR11" s="19">
        <f t="shared" ref="BR11:BR16" si="26">IF(OR(B11="", D11=""), "-",
  IF(OR(BO11="", BQ11=""), 0,
    IF(AND(BO11=B11, BQ11=D11), 10,
      IF(AND(OR(AND(B11&gt;D11, BO11&gt;BQ11), AND(B11&lt;D11, BO11&lt;BQ11), AND(B11=D11, BO11=BQ11)), OR(BO11=B11, BQ11=D11)), 7,
        IF(OR(AND(B11&gt;D11, BO11&gt;BQ11), AND(B11&lt;D11, BO11&lt;BQ11), AND(B11=D11, BO11=BQ11)), 5,
          IF(OR(BO11=B11, BQ11=D11), 2, 0)
        )
      )
    )
  )
)</f>
        <v>5</v>
      </c>
      <c r="BS11" s="6"/>
      <c r="BT11" s="13">
        <v>3</v>
      </c>
      <c r="BU11" s="14" t="s">
        <v>17</v>
      </c>
      <c r="BV11" s="13">
        <v>1</v>
      </c>
      <c r="BW11" s="19">
        <f t="shared" ref="BW11:BW16" si="27">IF(OR(B11="", D11=""), "-",
  IF(OR(BT11="", BV11=""), 0,
    IF(AND(BT11=B11, BV11=D11), 10,
      IF(AND(OR(AND(B11&gt;D11, BT11&gt;BV11), AND(B11&lt;D11, BT11&lt;BV11), AND(B11=D11, BT11=BV11)), OR(BT11=B11, BV11=D11)), 7,
        IF(OR(AND(B11&gt;D11, BT11&gt;BV11), AND(B11&lt;D11, BT11&lt;BV11), AND(B11=D11, BT11=BV11)), 5,
          IF(OR(BT11=B11, BV11=D11), 2, 0)
        )
      )
    )
  )
)</f>
        <v>5</v>
      </c>
      <c r="BX11" s="1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</row>
    <row r="12" spans="1:89" ht="17.399999999999999">
      <c r="A12" s="45" t="s">
        <v>24</v>
      </c>
      <c r="B12" s="46">
        <v>2</v>
      </c>
      <c r="C12" s="47" t="s">
        <v>17</v>
      </c>
      <c r="D12" s="46">
        <v>1</v>
      </c>
      <c r="E12" s="45" t="s">
        <v>25</v>
      </c>
      <c r="F12" s="1"/>
      <c r="G12" s="46">
        <v>2</v>
      </c>
      <c r="H12" s="47" t="s">
        <v>17</v>
      </c>
      <c r="I12" s="46">
        <v>1</v>
      </c>
      <c r="J12" s="48">
        <f t="shared" si="14"/>
        <v>10</v>
      </c>
      <c r="K12" s="44"/>
      <c r="L12" s="46">
        <v>2</v>
      </c>
      <c r="M12" s="47" t="s">
        <v>17</v>
      </c>
      <c r="N12" s="46">
        <v>0</v>
      </c>
      <c r="O12" s="48">
        <f t="shared" si="15"/>
        <v>7</v>
      </c>
      <c r="P12" s="44"/>
      <c r="Q12" s="46">
        <v>2</v>
      </c>
      <c r="R12" s="47" t="s">
        <v>17</v>
      </c>
      <c r="S12" s="46">
        <v>0</v>
      </c>
      <c r="T12" s="48">
        <f t="shared" si="16"/>
        <v>7</v>
      </c>
      <c r="U12" s="44"/>
      <c r="V12" s="46">
        <v>1</v>
      </c>
      <c r="W12" s="47" t="s">
        <v>17</v>
      </c>
      <c r="X12" s="46">
        <v>0</v>
      </c>
      <c r="Y12" s="48">
        <f t="shared" si="17"/>
        <v>5</v>
      </c>
      <c r="Z12" s="44"/>
      <c r="AA12" s="46">
        <v>2</v>
      </c>
      <c r="AB12" s="47" t="s">
        <v>17</v>
      </c>
      <c r="AC12" s="46">
        <v>1</v>
      </c>
      <c r="AD12" s="48">
        <f t="shared" si="18"/>
        <v>10</v>
      </c>
      <c r="AE12" s="44"/>
      <c r="AF12" s="46">
        <v>1</v>
      </c>
      <c r="AG12" s="47" t="s">
        <v>17</v>
      </c>
      <c r="AH12" s="46">
        <v>0</v>
      </c>
      <c r="AI12" s="48">
        <f t="shared" si="19"/>
        <v>5</v>
      </c>
      <c r="AJ12" s="44"/>
      <c r="AK12" s="46">
        <v>2</v>
      </c>
      <c r="AL12" s="47" t="s">
        <v>17</v>
      </c>
      <c r="AM12" s="46">
        <v>1</v>
      </c>
      <c r="AN12" s="48">
        <f t="shared" si="20"/>
        <v>10</v>
      </c>
      <c r="AO12" s="44"/>
      <c r="AP12" s="46"/>
      <c r="AQ12" s="47" t="s">
        <v>17</v>
      </c>
      <c r="AR12" s="46"/>
      <c r="AS12" s="48">
        <f t="shared" si="21"/>
        <v>0</v>
      </c>
      <c r="AT12" s="44"/>
      <c r="AU12" s="46">
        <v>1</v>
      </c>
      <c r="AV12" s="47" t="s">
        <v>17</v>
      </c>
      <c r="AW12" s="46">
        <v>0</v>
      </c>
      <c r="AX12" s="48">
        <f t="shared" si="22"/>
        <v>5</v>
      </c>
      <c r="AY12" s="5"/>
      <c r="AZ12" s="46">
        <v>1</v>
      </c>
      <c r="BA12" s="47" t="s">
        <v>17</v>
      </c>
      <c r="BB12" s="46">
        <v>0</v>
      </c>
      <c r="BC12" s="48">
        <f t="shared" si="23"/>
        <v>5</v>
      </c>
      <c r="BD12" s="6"/>
      <c r="BE12" s="46">
        <v>1</v>
      </c>
      <c r="BF12" s="47" t="s">
        <v>17</v>
      </c>
      <c r="BG12" s="46">
        <v>0</v>
      </c>
      <c r="BH12" s="49">
        <f t="shared" si="24"/>
        <v>5</v>
      </c>
      <c r="BI12" s="6"/>
      <c r="BJ12" s="46">
        <v>2</v>
      </c>
      <c r="BK12" s="47" t="s">
        <v>17</v>
      </c>
      <c r="BL12" s="46">
        <v>0</v>
      </c>
      <c r="BM12" s="49">
        <f t="shared" si="25"/>
        <v>7</v>
      </c>
      <c r="BN12" s="6"/>
      <c r="BO12" s="46">
        <v>2</v>
      </c>
      <c r="BP12" s="47" t="s">
        <v>17</v>
      </c>
      <c r="BQ12" s="46">
        <v>0</v>
      </c>
      <c r="BR12" s="49">
        <f t="shared" si="26"/>
        <v>7</v>
      </c>
      <c r="BS12" s="6"/>
      <c r="BT12" s="46">
        <v>0</v>
      </c>
      <c r="BU12" s="47" t="s">
        <v>17</v>
      </c>
      <c r="BV12" s="46">
        <v>2</v>
      </c>
      <c r="BW12" s="49">
        <f t="shared" si="27"/>
        <v>0</v>
      </c>
      <c r="BX12" s="1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</row>
    <row r="13" spans="1:89" ht="17.399999999999999">
      <c r="A13" s="12" t="s">
        <v>25</v>
      </c>
      <c r="B13" s="13">
        <v>1</v>
      </c>
      <c r="C13" s="14" t="s">
        <v>17</v>
      </c>
      <c r="D13" s="13">
        <v>3</v>
      </c>
      <c r="E13" s="12" t="s">
        <v>23</v>
      </c>
      <c r="F13" s="1"/>
      <c r="G13" s="13">
        <v>0</v>
      </c>
      <c r="H13" s="14" t="s">
        <v>17</v>
      </c>
      <c r="I13" s="13">
        <v>2</v>
      </c>
      <c r="J13" s="17">
        <f t="shared" si="14"/>
        <v>5</v>
      </c>
      <c r="K13" s="44"/>
      <c r="L13" s="13">
        <v>0</v>
      </c>
      <c r="M13" s="14" t="s">
        <v>17</v>
      </c>
      <c r="N13" s="13">
        <v>2</v>
      </c>
      <c r="O13" s="17">
        <f t="shared" si="15"/>
        <v>5</v>
      </c>
      <c r="P13" s="44"/>
      <c r="Q13" s="13">
        <v>0</v>
      </c>
      <c r="R13" s="14" t="s">
        <v>17</v>
      </c>
      <c r="S13" s="13">
        <v>2</v>
      </c>
      <c r="T13" s="17">
        <f t="shared" si="16"/>
        <v>5</v>
      </c>
      <c r="U13" s="44"/>
      <c r="V13" s="13">
        <v>0</v>
      </c>
      <c r="W13" s="14" t="s">
        <v>17</v>
      </c>
      <c r="X13" s="13">
        <v>3</v>
      </c>
      <c r="Y13" s="17">
        <f t="shared" si="17"/>
        <v>7</v>
      </c>
      <c r="Z13" s="44"/>
      <c r="AA13" s="13">
        <v>0</v>
      </c>
      <c r="AB13" s="14" t="s">
        <v>17</v>
      </c>
      <c r="AC13" s="13">
        <v>2</v>
      </c>
      <c r="AD13" s="17">
        <f t="shared" si="18"/>
        <v>5</v>
      </c>
      <c r="AE13" s="44"/>
      <c r="AF13" s="13">
        <v>0</v>
      </c>
      <c r="AG13" s="14" t="s">
        <v>17</v>
      </c>
      <c r="AH13" s="13">
        <v>2</v>
      </c>
      <c r="AI13" s="17">
        <f t="shared" si="19"/>
        <v>5</v>
      </c>
      <c r="AJ13" s="44"/>
      <c r="AK13" s="13">
        <v>0</v>
      </c>
      <c r="AL13" s="14" t="s">
        <v>17</v>
      </c>
      <c r="AM13" s="13">
        <v>3</v>
      </c>
      <c r="AN13" s="17">
        <f t="shared" si="20"/>
        <v>7</v>
      </c>
      <c r="AO13" s="44"/>
      <c r="AP13" s="13"/>
      <c r="AQ13" s="14" t="s">
        <v>17</v>
      </c>
      <c r="AR13" s="13"/>
      <c r="AS13" s="17">
        <f t="shared" si="21"/>
        <v>0</v>
      </c>
      <c r="AT13" s="44"/>
      <c r="AU13" s="13">
        <v>0</v>
      </c>
      <c r="AV13" s="14" t="s">
        <v>17</v>
      </c>
      <c r="AW13" s="13">
        <v>2</v>
      </c>
      <c r="AX13" s="17">
        <f t="shared" si="22"/>
        <v>5</v>
      </c>
      <c r="AY13" s="5"/>
      <c r="AZ13" s="13">
        <v>0</v>
      </c>
      <c r="BA13" s="14" t="s">
        <v>17</v>
      </c>
      <c r="BB13" s="13">
        <v>1</v>
      </c>
      <c r="BC13" s="17">
        <f t="shared" si="23"/>
        <v>5</v>
      </c>
      <c r="BD13" s="6"/>
      <c r="BE13" s="13">
        <v>0</v>
      </c>
      <c r="BF13" s="14" t="s">
        <v>17</v>
      </c>
      <c r="BG13" s="13">
        <v>2</v>
      </c>
      <c r="BH13" s="19">
        <f t="shared" si="24"/>
        <v>5</v>
      </c>
      <c r="BI13" s="6"/>
      <c r="BJ13" s="13">
        <v>0</v>
      </c>
      <c r="BK13" s="14" t="s">
        <v>17</v>
      </c>
      <c r="BL13" s="13">
        <v>3</v>
      </c>
      <c r="BM13" s="19">
        <f t="shared" si="25"/>
        <v>7</v>
      </c>
      <c r="BN13" s="6"/>
      <c r="BO13" s="13">
        <v>0</v>
      </c>
      <c r="BP13" s="14" t="s">
        <v>17</v>
      </c>
      <c r="BQ13" s="13">
        <v>2</v>
      </c>
      <c r="BR13" s="19">
        <f t="shared" si="26"/>
        <v>5</v>
      </c>
      <c r="BS13" s="6"/>
      <c r="BT13" s="13">
        <v>0</v>
      </c>
      <c r="BU13" s="14" t="s">
        <v>17</v>
      </c>
      <c r="BV13" s="13">
        <v>1</v>
      </c>
      <c r="BW13" s="19">
        <f t="shared" si="27"/>
        <v>5</v>
      </c>
      <c r="BX13" s="1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</row>
    <row r="14" spans="1:89" ht="17.399999999999999">
      <c r="A14" s="45" t="s">
        <v>22</v>
      </c>
      <c r="B14" s="46">
        <v>0</v>
      </c>
      <c r="C14" s="47" t="s">
        <v>17</v>
      </c>
      <c r="D14" s="46">
        <v>1</v>
      </c>
      <c r="E14" s="45" t="s">
        <v>24</v>
      </c>
      <c r="F14" s="1"/>
      <c r="G14" s="46">
        <v>3</v>
      </c>
      <c r="H14" s="47" t="s">
        <v>17</v>
      </c>
      <c r="I14" s="46">
        <v>1</v>
      </c>
      <c r="J14" s="48">
        <f t="shared" si="14"/>
        <v>2</v>
      </c>
      <c r="K14" s="44"/>
      <c r="L14" s="46">
        <v>2</v>
      </c>
      <c r="M14" s="47" t="s">
        <v>17</v>
      </c>
      <c r="N14" s="46">
        <v>1</v>
      </c>
      <c r="O14" s="48">
        <f t="shared" si="15"/>
        <v>2</v>
      </c>
      <c r="P14" s="44"/>
      <c r="Q14" s="46">
        <v>2</v>
      </c>
      <c r="R14" s="47" t="s">
        <v>17</v>
      </c>
      <c r="S14" s="46">
        <v>1</v>
      </c>
      <c r="T14" s="48">
        <f t="shared" si="16"/>
        <v>2</v>
      </c>
      <c r="U14" s="44"/>
      <c r="V14" s="46">
        <v>4</v>
      </c>
      <c r="W14" s="47" t="s">
        <v>17</v>
      </c>
      <c r="X14" s="46">
        <v>0</v>
      </c>
      <c r="Y14" s="48">
        <f t="shared" si="17"/>
        <v>0</v>
      </c>
      <c r="Z14" s="44"/>
      <c r="AA14" s="46">
        <v>1</v>
      </c>
      <c r="AB14" s="47" t="s">
        <v>17</v>
      </c>
      <c r="AC14" s="46">
        <v>1</v>
      </c>
      <c r="AD14" s="48">
        <f t="shared" si="18"/>
        <v>2</v>
      </c>
      <c r="AE14" s="44"/>
      <c r="AF14" s="46">
        <v>3</v>
      </c>
      <c r="AG14" s="47" t="s">
        <v>17</v>
      </c>
      <c r="AH14" s="46">
        <v>0</v>
      </c>
      <c r="AI14" s="48">
        <f t="shared" si="19"/>
        <v>0</v>
      </c>
      <c r="AJ14" s="44"/>
      <c r="AK14" s="46">
        <v>3</v>
      </c>
      <c r="AL14" s="47" t="s">
        <v>17</v>
      </c>
      <c r="AM14" s="46">
        <v>0</v>
      </c>
      <c r="AN14" s="48">
        <f t="shared" si="20"/>
        <v>0</v>
      </c>
      <c r="AO14" s="44"/>
      <c r="AP14" s="46"/>
      <c r="AQ14" s="47" t="s">
        <v>17</v>
      </c>
      <c r="AR14" s="46"/>
      <c r="AS14" s="48">
        <f t="shared" si="21"/>
        <v>0</v>
      </c>
      <c r="AT14" s="44"/>
      <c r="AU14" s="46">
        <v>2</v>
      </c>
      <c r="AV14" s="47" t="s">
        <v>17</v>
      </c>
      <c r="AW14" s="46">
        <v>0</v>
      </c>
      <c r="AX14" s="48">
        <f t="shared" si="22"/>
        <v>0</v>
      </c>
      <c r="AY14" s="5"/>
      <c r="AZ14" s="46">
        <v>0</v>
      </c>
      <c r="BA14" s="47" t="s">
        <v>17</v>
      </c>
      <c r="BB14" s="46">
        <v>0</v>
      </c>
      <c r="BC14" s="48">
        <f t="shared" si="23"/>
        <v>2</v>
      </c>
      <c r="BD14" s="6"/>
      <c r="BE14" s="46">
        <v>3</v>
      </c>
      <c r="BF14" s="47" t="s">
        <v>17</v>
      </c>
      <c r="BG14" s="46">
        <v>0</v>
      </c>
      <c r="BH14" s="49">
        <f t="shared" si="24"/>
        <v>0</v>
      </c>
      <c r="BI14" s="6"/>
      <c r="BJ14" s="46">
        <v>4</v>
      </c>
      <c r="BK14" s="47" t="s">
        <v>17</v>
      </c>
      <c r="BL14" s="46">
        <v>0</v>
      </c>
      <c r="BM14" s="49">
        <f t="shared" si="25"/>
        <v>0</v>
      </c>
      <c r="BN14" s="6"/>
      <c r="BO14" s="46">
        <v>1</v>
      </c>
      <c r="BP14" s="47" t="s">
        <v>17</v>
      </c>
      <c r="BQ14" s="46">
        <v>1</v>
      </c>
      <c r="BR14" s="49">
        <f t="shared" si="26"/>
        <v>2</v>
      </c>
      <c r="BS14" s="6"/>
      <c r="BT14" s="46">
        <v>4</v>
      </c>
      <c r="BU14" s="47" t="s">
        <v>17</v>
      </c>
      <c r="BV14" s="46">
        <v>0</v>
      </c>
      <c r="BW14" s="49">
        <f t="shared" si="27"/>
        <v>0</v>
      </c>
      <c r="BX14" s="1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</row>
    <row r="15" spans="1:89" ht="17.399999999999999">
      <c r="A15" s="12" t="s">
        <v>25</v>
      </c>
      <c r="B15" s="13">
        <v>0</v>
      </c>
      <c r="C15" s="14" t="s">
        <v>17</v>
      </c>
      <c r="D15" s="13">
        <v>2</v>
      </c>
      <c r="E15" s="12" t="s">
        <v>22</v>
      </c>
      <c r="F15" s="1"/>
      <c r="G15" s="13">
        <v>1</v>
      </c>
      <c r="H15" s="14" t="s">
        <v>17</v>
      </c>
      <c r="I15" s="13">
        <v>1</v>
      </c>
      <c r="J15" s="17">
        <f t="shared" si="14"/>
        <v>0</v>
      </c>
      <c r="K15" s="44"/>
      <c r="L15" s="13">
        <v>0</v>
      </c>
      <c r="M15" s="14" t="s">
        <v>17</v>
      </c>
      <c r="N15" s="13">
        <v>3</v>
      </c>
      <c r="O15" s="17">
        <f t="shared" si="15"/>
        <v>7</v>
      </c>
      <c r="P15" s="44"/>
      <c r="Q15" s="13">
        <v>0</v>
      </c>
      <c r="R15" s="14" t="s">
        <v>17</v>
      </c>
      <c r="S15" s="13">
        <v>2</v>
      </c>
      <c r="T15" s="17">
        <f t="shared" si="16"/>
        <v>10</v>
      </c>
      <c r="U15" s="44"/>
      <c r="V15" s="13">
        <v>0</v>
      </c>
      <c r="W15" s="14" t="s">
        <v>17</v>
      </c>
      <c r="X15" s="13">
        <v>3</v>
      </c>
      <c r="Y15" s="17">
        <f t="shared" si="17"/>
        <v>7</v>
      </c>
      <c r="Z15" s="44"/>
      <c r="AA15" s="13">
        <v>0</v>
      </c>
      <c r="AB15" s="14" t="s">
        <v>17</v>
      </c>
      <c r="AC15" s="13">
        <v>3</v>
      </c>
      <c r="AD15" s="17">
        <f t="shared" si="18"/>
        <v>7</v>
      </c>
      <c r="AE15" s="44"/>
      <c r="AF15" s="13">
        <v>0</v>
      </c>
      <c r="AG15" s="14" t="s">
        <v>17</v>
      </c>
      <c r="AH15" s="13">
        <v>5</v>
      </c>
      <c r="AI15" s="17">
        <f t="shared" si="19"/>
        <v>7</v>
      </c>
      <c r="AJ15" s="44"/>
      <c r="AK15" s="13">
        <v>0</v>
      </c>
      <c r="AL15" s="14" t="s">
        <v>17</v>
      </c>
      <c r="AM15" s="13">
        <v>5</v>
      </c>
      <c r="AN15" s="17">
        <f t="shared" si="20"/>
        <v>7</v>
      </c>
      <c r="AO15" s="44"/>
      <c r="AP15" s="13"/>
      <c r="AQ15" s="14" t="s">
        <v>17</v>
      </c>
      <c r="AR15" s="13"/>
      <c r="AS15" s="17">
        <f t="shared" si="21"/>
        <v>0</v>
      </c>
      <c r="AT15" s="44"/>
      <c r="AU15" s="13">
        <v>0</v>
      </c>
      <c r="AV15" s="14" t="s">
        <v>17</v>
      </c>
      <c r="AW15" s="13">
        <v>3</v>
      </c>
      <c r="AX15" s="17">
        <f t="shared" si="22"/>
        <v>7</v>
      </c>
      <c r="AY15" s="5"/>
      <c r="AZ15" s="13">
        <v>0</v>
      </c>
      <c r="BA15" s="14" t="s">
        <v>17</v>
      </c>
      <c r="BB15" s="13">
        <v>2</v>
      </c>
      <c r="BC15" s="17">
        <f t="shared" si="23"/>
        <v>10</v>
      </c>
      <c r="BD15" s="6"/>
      <c r="BE15" s="13">
        <v>0</v>
      </c>
      <c r="BF15" s="14" t="s">
        <v>17</v>
      </c>
      <c r="BG15" s="13">
        <v>3</v>
      </c>
      <c r="BH15" s="19">
        <f t="shared" si="24"/>
        <v>7</v>
      </c>
      <c r="BI15" s="6"/>
      <c r="BJ15" s="13">
        <v>0</v>
      </c>
      <c r="BK15" s="14" t="s">
        <v>17</v>
      </c>
      <c r="BL15" s="13">
        <v>5</v>
      </c>
      <c r="BM15" s="19">
        <f t="shared" si="25"/>
        <v>7</v>
      </c>
      <c r="BN15" s="6"/>
      <c r="BO15" s="13">
        <v>0</v>
      </c>
      <c r="BP15" s="14" t="s">
        <v>17</v>
      </c>
      <c r="BQ15" s="13">
        <v>3</v>
      </c>
      <c r="BR15" s="19">
        <f t="shared" si="26"/>
        <v>7</v>
      </c>
      <c r="BS15" s="6"/>
      <c r="BT15" s="13">
        <v>1</v>
      </c>
      <c r="BU15" s="14" t="s">
        <v>17</v>
      </c>
      <c r="BV15" s="13">
        <v>2</v>
      </c>
      <c r="BW15" s="19">
        <f t="shared" si="27"/>
        <v>7</v>
      </c>
      <c r="BX15" s="1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</row>
    <row r="16" spans="1:89" ht="17.399999999999999">
      <c r="A16" s="45" t="s">
        <v>23</v>
      </c>
      <c r="B16" s="46">
        <v>1</v>
      </c>
      <c r="C16" s="47" t="s">
        <v>17</v>
      </c>
      <c r="D16" s="46">
        <v>0</v>
      </c>
      <c r="E16" s="45" t="s">
        <v>24</v>
      </c>
      <c r="F16" s="1"/>
      <c r="G16" s="46">
        <v>2</v>
      </c>
      <c r="H16" s="47" t="s">
        <v>17</v>
      </c>
      <c r="I16" s="46">
        <v>0</v>
      </c>
      <c r="J16" s="48">
        <f t="shared" si="14"/>
        <v>7</v>
      </c>
      <c r="K16" s="44"/>
      <c r="L16" s="46">
        <v>1</v>
      </c>
      <c r="M16" s="47" t="s">
        <v>17</v>
      </c>
      <c r="N16" s="46">
        <v>0</v>
      </c>
      <c r="O16" s="48">
        <f t="shared" si="15"/>
        <v>10</v>
      </c>
      <c r="P16" s="44"/>
      <c r="Q16" s="46">
        <v>1</v>
      </c>
      <c r="R16" s="47" t="s">
        <v>17</v>
      </c>
      <c r="S16" s="46">
        <v>0</v>
      </c>
      <c r="T16" s="48">
        <f t="shared" si="16"/>
        <v>10</v>
      </c>
      <c r="U16" s="44"/>
      <c r="V16" s="46">
        <v>3</v>
      </c>
      <c r="W16" s="47" t="s">
        <v>17</v>
      </c>
      <c r="X16" s="46">
        <v>1</v>
      </c>
      <c r="Y16" s="48">
        <f t="shared" si="17"/>
        <v>5</v>
      </c>
      <c r="Z16" s="44"/>
      <c r="AA16" s="46">
        <v>3</v>
      </c>
      <c r="AB16" s="47" t="s">
        <v>17</v>
      </c>
      <c r="AC16" s="46">
        <v>2</v>
      </c>
      <c r="AD16" s="48">
        <f t="shared" si="18"/>
        <v>5</v>
      </c>
      <c r="AE16" s="44"/>
      <c r="AF16" s="46">
        <v>2</v>
      </c>
      <c r="AG16" s="47" t="s">
        <v>17</v>
      </c>
      <c r="AH16" s="46">
        <v>2</v>
      </c>
      <c r="AI16" s="48">
        <f t="shared" si="19"/>
        <v>0</v>
      </c>
      <c r="AJ16" s="44"/>
      <c r="AK16" s="46">
        <v>2</v>
      </c>
      <c r="AL16" s="47" t="s">
        <v>17</v>
      </c>
      <c r="AM16" s="46">
        <v>1</v>
      </c>
      <c r="AN16" s="48">
        <f t="shared" si="20"/>
        <v>5</v>
      </c>
      <c r="AO16" s="44"/>
      <c r="AP16" s="46"/>
      <c r="AQ16" s="47" t="s">
        <v>17</v>
      </c>
      <c r="AR16" s="46"/>
      <c r="AS16" s="48">
        <f t="shared" si="21"/>
        <v>0</v>
      </c>
      <c r="AT16" s="44"/>
      <c r="AU16" s="46">
        <v>2</v>
      </c>
      <c r="AV16" s="47" t="s">
        <v>17</v>
      </c>
      <c r="AW16" s="46">
        <v>1</v>
      </c>
      <c r="AX16" s="48">
        <f t="shared" si="22"/>
        <v>5</v>
      </c>
      <c r="AY16" s="5"/>
      <c r="AZ16" s="46">
        <v>1</v>
      </c>
      <c r="BA16" s="47" t="s">
        <v>17</v>
      </c>
      <c r="BB16" s="46">
        <v>0</v>
      </c>
      <c r="BC16" s="48">
        <f t="shared" si="23"/>
        <v>10</v>
      </c>
      <c r="BD16" s="6"/>
      <c r="BE16" s="46">
        <v>2</v>
      </c>
      <c r="BF16" s="47" t="s">
        <v>17</v>
      </c>
      <c r="BG16" s="46">
        <v>0</v>
      </c>
      <c r="BH16" s="49">
        <f t="shared" si="24"/>
        <v>7</v>
      </c>
      <c r="BI16" s="6"/>
      <c r="BJ16" s="46">
        <v>3</v>
      </c>
      <c r="BK16" s="47" t="s">
        <v>17</v>
      </c>
      <c r="BL16" s="46">
        <v>1</v>
      </c>
      <c r="BM16" s="49">
        <f t="shared" si="25"/>
        <v>5</v>
      </c>
      <c r="BN16" s="6"/>
      <c r="BO16" s="46">
        <v>1</v>
      </c>
      <c r="BP16" s="47" t="s">
        <v>17</v>
      </c>
      <c r="BQ16" s="46">
        <v>0</v>
      </c>
      <c r="BR16" s="49">
        <f t="shared" si="26"/>
        <v>10</v>
      </c>
      <c r="BS16" s="6"/>
      <c r="BT16" s="46">
        <v>3</v>
      </c>
      <c r="BU16" s="47" t="s">
        <v>17</v>
      </c>
      <c r="BV16" s="46">
        <v>1</v>
      </c>
      <c r="BW16" s="49">
        <f t="shared" si="27"/>
        <v>5</v>
      </c>
      <c r="BX16" s="1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</row>
    <row r="17" spans="1:89" ht="17.399999999999999">
      <c r="A17" s="50"/>
      <c r="B17" s="50"/>
      <c r="C17" s="51"/>
      <c r="D17" s="50"/>
      <c r="E17" s="50"/>
      <c r="F17" s="1"/>
      <c r="G17" s="321">
        <f>SUM(J11:J16)</f>
        <v>31</v>
      </c>
      <c r="H17" s="301"/>
      <c r="I17" s="301"/>
      <c r="J17" s="32"/>
      <c r="K17" s="33"/>
      <c r="L17" s="321">
        <f>SUM(O11:O16)</f>
        <v>36</v>
      </c>
      <c r="M17" s="301"/>
      <c r="N17" s="301"/>
      <c r="O17" s="32"/>
      <c r="P17" s="33"/>
      <c r="Q17" s="321">
        <f>SUM(T11:T16)</f>
        <v>34</v>
      </c>
      <c r="R17" s="301"/>
      <c r="S17" s="301"/>
      <c r="T17" s="32"/>
      <c r="U17" s="33"/>
      <c r="V17" s="321">
        <f>SUM(Y11:Y16)</f>
        <v>29</v>
      </c>
      <c r="W17" s="301"/>
      <c r="X17" s="301"/>
      <c r="Y17" s="32"/>
      <c r="Z17" s="33"/>
      <c r="AA17" s="321">
        <f>SUM(AD11:AD16)</f>
        <v>34</v>
      </c>
      <c r="AB17" s="301"/>
      <c r="AC17" s="301"/>
      <c r="AD17" s="32"/>
      <c r="AE17" s="33"/>
      <c r="AF17" s="321">
        <f>SUM(AI11:AI16)</f>
        <v>24</v>
      </c>
      <c r="AG17" s="301"/>
      <c r="AH17" s="301"/>
      <c r="AI17" s="32"/>
      <c r="AJ17" s="33"/>
      <c r="AK17" s="321">
        <f>SUM(AN11:AN16)</f>
        <v>34</v>
      </c>
      <c r="AL17" s="301"/>
      <c r="AM17" s="301"/>
      <c r="AN17" s="32"/>
      <c r="AO17" s="33"/>
      <c r="AP17" s="321">
        <f>SUM(AS11:AS16)</f>
        <v>0</v>
      </c>
      <c r="AQ17" s="301"/>
      <c r="AR17" s="301"/>
      <c r="AS17" s="34"/>
      <c r="AT17" s="33"/>
      <c r="AU17" s="321">
        <f>SUM(AX11:AX16)</f>
        <v>29</v>
      </c>
      <c r="AV17" s="301"/>
      <c r="AW17" s="301"/>
      <c r="AX17" s="35"/>
      <c r="AY17" s="5"/>
      <c r="AZ17" s="321">
        <f>SUM(BC11:BC16)</f>
        <v>32</v>
      </c>
      <c r="BA17" s="301"/>
      <c r="BB17" s="301"/>
      <c r="BC17" s="35"/>
      <c r="BD17" s="6"/>
      <c r="BE17" s="321">
        <f>SUM(BH11:BH16)</f>
        <v>24</v>
      </c>
      <c r="BF17" s="301"/>
      <c r="BG17" s="301"/>
      <c r="BH17" s="35"/>
      <c r="BI17" s="6"/>
      <c r="BJ17" s="321">
        <f>SUM(BM11:BM16)</f>
        <v>26</v>
      </c>
      <c r="BK17" s="301"/>
      <c r="BL17" s="301"/>
      <c r="BM17" s="35"/>
      <c r="BN17" s="6"/>
      <c r="BO17" s="321">
        <f>SUM(BR11:BR16)</f>
        <v>36</v>
      </c>
      <c r="BP17" s="301"/>
      <c r="BQ17" s="301"/>
      <c r="BR17" s="35"/>
      <c r="BS17" s="6"/>
      <c r="BT17" s="321">
        <f>SUM(BW11:BW16)</f>
        <v>22</v>
      </c>
      <c r="BU17" s="301"/>
      <c r="BV17" s="301"/>
      <c r="BW17" s="35"/>
      <c r="BX17" s="1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</row>
    <row r="18" spans="1:89" ht="17.399999999999999">
      <c r="A18" s="329" t="s">
        <v>26</v>
      </c>
      <c r="B18" s="301"/>
      <c r="C18" s="301"/>
      <c r="D18" s="301"/>
      <c r="E18" s="301"/>
      <c r="F18" s="1"/>
      <c r="G18" s="53"/>
      <c r="H18" s="54"/>
      <c r="I18" s="54"/>
      <c r="J18" s="55"/>
      <c r="K18" s="40"/>
      <c r="L18" s="53"/>
      <c r="M18" s="54"/>
      <c r="N18" s="54"/>
      <c r="O18" s="55"/>
      <c r="P18" s="40"/>
      <c r="Q18" s="53"/>
      <c r="R18" s="54"/>
      <c r="S18" s="54"/>
      <c r="T18" s="55"/>
      <c r="U18" s="40"/>
      <c r="V18" s="53"/>
      <c r="W18" s="54"/>
      <c r="X18" s="54"/>
      <c r="Y18" s="55"/>
      <c r="Z18" s="40"/>
      <c r="AA18" s="53"/>
      <c r="AB18" s="54"/>
      <c r="AC18" s="54"/>
      <c r="AD18" s="55"/>
      <c r="AE18" s="40"/>
      <c r="AF18" s="53"/>
      <c r="AG18" s="54"/>
      <c r="AH18" s="54"/>
      <c r="AI18" s="55"/>
      <c r="AJ18" s="40"/>
      <c r="AK18" s="53"/>
      <c r="AL18" s="54"/>
      <c r="AM18" s="54"/>
      <c r="AN18" s="55"/>
      <c r="AO18" s="40"/>
      <c r="AP18" s="53"/>
      <c r="AQ18" s="54"/>
      <c r="AR18" s="54"/>
      <c r="AS18" s="55"/>
      <c r="AT18" s="34"/>
      <c r="AU18" s="56"/>
      <c r="AV18" s="57"/>
      <c r="AW18" s="57"/>
      <c r="AX18" s="55"/>
      <c r="AY18" s="5"/>
      <c r="AZ18" s="53"/>
      <c r="BA18" s="54"/>
      <c r="BB18" s="54"/>
      <c r="BC18" s="55"/>
      <c r="BD18" s="6"/>
      <c r="BE18" s="53"/>
      <c r="BF18" s="54"/>
      <c r="BG18" s="54"/>
      <c r="BH18" s="58"/>
      <c r="BI18" s="6"/>
      <c r="BJ18" s="53"/>
      <c r="BK18" s="54"/>
      <c r="BL18" s="54"/>
      <c r="BM18" s="58"/>
      <c r="BN18" s="6"/>
      <c r="BO18" s="53"/>
      <c r="BP18" s="54"/>
      <c r="BQ18" s="54"/>
      <c r="BR18" s="58"/>
      <c r="BS18" s="6"/>
      <c r="BT18" s="53"/>
      <c r="BU18" s="54"/>
      <c r="BV18" s="54"/>
      <c r="BW18" s="58"/>
      <c r="BX18" s="1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</row>
    <row r="19" spans="1:89" ht="17.399999999999999">
      <c r="A19" s="12" t="s">
        <v>27</v>
      </c>
      <c r="B19" s="13">
        <v>10</v>
      </c>
      <c r="C19" s="14" t="s">
        <v>17</v>
      </c>
      <c r="D19" s="13">
        <v>0</v>
      </c>
      <c r="E19" s="12" t="s">
        <v>28</v>
      </c>
      <c r="F19" s="1"/>
      <c r="G19" s="13">
        <v>3</v>
      </c>
      <c r="H19" s="14" t="s">
        <v>17</v>
      </c>
      <c r="I19" s="13">
        <v>0</v>
      </c>
      <c r="J19" s="17">
        <f t="shared" ref="J19:J24" si="28">IF(OR(B19="", D19=""), "-",
  IF(OR(G19="", I19=""), 0,
    IF(AND(G19=B19, I19=D19), 10,
      IF(AND(OR(AND(B19&gt;D19, G19&gt;I19), AND(B19&lt;D19, G19&lt;I19), AND(B19=D19, G19=I19)), OR(G19=B19, I19=D19)), 7,
        IF(OR(AND(B19&gt;D19, G19&gt;I19), AND(B19&lt;D19, G19&lt;I19), AND(B19=D19, G19=I19)), 5,
          IF(OR(G19=B19, I19=D19), 2, 0)
        )
      )
    )
  )
)</f>
        <v>7</v>
      </c>
      <c r="K19" s="44"/>
      <c r="L19" s="13">
        <v>4</v>
      </c>
      <c r="M19" s="14" t="s">
        <v>17</v>
      </c>
      <c r="N19" s="13">
        <v>0</v>
      </c>
      <c r="O19" s="17">
        <f t="shared" ref="O19:O24" si="29">IF(OR(B19="", D19=""), "-",
  IF(OR(L19="", N19=""), 0,
    IF(AND(L19=B19, N19=D19), 10,
      IF(AND(OR(AND(B19&gt;D19, L19&gt;N19), AND(B19&lt;D19, L19&lt;N19), AND(B19=D19, L19=N19)), OR(L19=B19, N19=D19)), 7,
        IF(OR(AND(B19&gt;D19, L19&gt;N19), AND(B19&lt;D19, L19&lt;N19), AND(B19=D19, L19=N19)), 5,
          IF(OR(L19=B19, N19=D19), 2, 0)
        )
      )
    )
  )
)</f>
        <v>7</v>
      </c>
      <c r="P19" s="44"/>
      <c r="Q19" s="13">
        <v>5</v>
      </c>
      <c r="R19" s="14" t="s">
        <v>17</v>
      </c>
      <c r="S19" s="13">
        <v>0</v>
      </c>
      <c r="T19" s="17">
        <f t="shared" ref="T19:T24" si="30">IF(OR(B19="", D19=""), "-",
  IF(OR(Q19="", S19=""), 0,
    IF(AND(Q19=B19, S19=D19), 10,
      IF(AND(OR(AND(B19&gt;D19, Q19&gt;S19), AND(B19&lt;D19, Q19&lt;S19), AND(B19=D19, Q19=S19)), OR(Q19=B19, S19=D19)), 7,
        IF(OR(AND(B19&gt;D19, Q19&gt;S19), AND(B19&lt;D19, Q19&lt;S19), AND(B19=D19, Q19=S19)), 5,
          IF(OR(Q19=B19, S19=D19), 2, 0)
        )
      )
    )
  )
)</f>
        <v>7</v>
      </c>
      <c r="U19" s="44"/>
      <c r="V19" s="13">
        <v>1</v>
      </c>
      <c r="W19" s="14" t="s">
        <v>17</v>
      </c>
      <c r="X19" s="13">
        <v>0</v>
      </c>
      <c r="Y19" s="17">
        <f t="shared" ref="Y19:Y24" si="31">IF(OR(B19="", D19=""), "-",
  IF(OR(V19="", X19=""), 0,
    IF(AND(V19=B19, X19=D19), 10,
      IF(AND(OR(AND(B19&gt;D19, V19&gt;X19), AND(B19&lt;D19, V19&lt;X19), AND(B19=D19, V19=X19)), OR(V19=B19, X19=D19)), 7,
        IF(OR(AND(B19&gt;D19, V19&gt;X19), AND(B19&lt;D19, V19&lt;X19), AND(B19=D19, V19=X19)), 5,
          IF(OR(V19=B19, X19=D19), 2, 0)
        )
      )
    )
  )
)</f>
        <v>7</v>
      </c>
      <c r="Z19" s="44"/>
      <c r="AA19" s="13">
        <v>3</v>
      </c>
      <c r="AB19" s="14" t="s">
        <v>17</v>
      </c>
      <c r="AC19" s="13">
        <v>0</v>
      </c>
      <c r="AD19" s="17">
        <f t="shared" ref="AD19:AD24" si="32">IF(OR(B19="", D19=""), "-",
  IF(OR(AA19="", AC19=""), 0,
    IF(AND(AA19=B19, AC19=D19), 10,
      IF(AND(OR(AND(B19&gt;D19, AA19&gt;AC19), AND(B19&lt;D19, AA19&lt;AC19), AND(B19=D19, AA19=AC19)), OR(AA19=B19, AC19=D19)), 7,
        IF(OR(AND(B19&gt;D19, AA19&gt;AC19), AND(B19&lt;D19, AA19&lt;AC19), AND(B19=D19, AA19=AC19)), 5,
          IF(OR(AA19=B19, AC19=D19), 2, 0)
        )
      )
    )
  )
)</f>
        <v>7</v>
      </c>
      <c r="AE19" s="44"/>
      <c r="AF19" s="13">
        <v>3</v>
      </c>
      <c r="AG19" s="14" t="s">
        <v>17</v>
      </c>
      <c r="AH19" s="13">
        <v>1</v>
      </c>
      <c r="AI19" s="17">
        <f t="shared" ref="AI19:AI24" si="33">IF(OR(B19="", D19=""), "-",
  IF(OR(AF19="", AH19=""), 0,
    IF(AND(AF19=B19, AH19=D19), 10,
      IF(AND(OR(AND(B19&gt;D19, AF19&gt;AH19), AND(B19&lt;D19, AF19&lt;AH19), AND(B19=D19, AF19=AH19)), OR(AF19=B19, AH19=D19)), 7,
        IF(OR(AND(B19&gt;D19, AF19&gt;AH19), AND(B19&lt;D19, AF19&lt;AH19), AND(B19=D19, AF19=AH19)), 5,
          IF(OR(AF19=B19, AH19=D19), 2, 0)
        )
      )
    )
  )
)</f>
        <v>5</v>
      </c>
      <c r="AJ19" s="44"/>
      <c r="AK19" s="13">
        <v>5</v>
      </c>
      <c r="AL19" s="14" t="s">
        <v>17</v>
      </c>
      <c r="AM19" s="13">
        <v>0</v>
      </c>
      <c r="AN19" s="17">
        <f t="shared" ref="AN19:AN24" si="34">IF(OR(B19="", D19=""), "-",
  IF(OR(AK19="", AM19=""), 0,
    IF(AND(AK19=B19, AM19=D19), 10,
      IF(AND(OR(AND(B19&gt;D19, AK19&gt;AM19), AND(B19&lt;D19, AK19&lt;AM19), AND(B19=D19, AK19=AM19)), OR(AK19=B19, AM19=D19)), 7,
        IF(OR(AND(B19&gt;D19, AK19&gt;AM19), AND(B19&lt;D19, AK19&lt;AM19), AND(B19=D19, AK19=AM19)), 5,
          IF(OR(AK19=B19, AM19=D19), 2, 0)
        )
      )
    )
  )
)</f>
        <v>7</v>
      </c>
      <c r="AO19" s="44"/>
      <c r="AP19" s="13"/>
      <c r="AQ19" s="14" t="s">
        <v>17</v>
      </c>
      <c r="AR19" s="13"/>
      <c r="AS19" s="17">
        <f t="shared" ref="AS19:AS24" si="35">IF(OR(B19="", D19=""), "-",
  IF(OR(AP19="", AR19=""), 0,
    IF(AND(AP19=B19, AR19=D19), 10,
      IF(AND(OR(AND(B19&gt;D19, AP19&gt;AR19), AND(B19&lt;D19, AP19&lt;AR19), AND(B19=D19, AP19=AR19)), OR(AP19=B19, AR19=D19)), 7,
        IF(OR(AND(B19&gt;D19, AP19&gt;AR19), AND(B19&lt;D19, AP19&lt;AR19), AND(B19=D19, AP19=AR19)), 5,
          IF(OR(AP19=B19, AR19=D19), 2, 0)
        )
      )
    )
  )
)</f>
        <v>0</v>
      </c>
      <c r="AT19" s="44"/>
      <c r="AU19" s="13">
        <v>5</v>
      </c>
      <c r="AV19" s="14" t="s">
        <v>17</v>
      </c>
      <c r="AW19" s="13">
        <v>0</v>
      </c>
      <c r="AX19" s="17">
        <f t="shared" ref="AX19:AX24" si="36">IF(OR(B19="", D19=""), "-",
  IF(OR(AU19="", AW19=""), 0,
    IF(AND(AU19=B19, AW19=D19), 10,
      IF(AND(OR(AND(B19&gt;D19, AU19&gt;AW19), AND(B19&lt;D19, AU19&lt;AW19), AND(B19=D19, AU19=AW19)), OR(AU19=B19, AW19=D19)), 7,
        IF(OR(AND(B19&gt;D19, AU19&gt;AW19), AND(B19&lt;D19, AU19&lt;AW19), AND(B19=D19, AU19=AW19)), 5,
          IF(OR(AU19=B19, AW19=D19), 2, 0)
        )
      )
    )
  )
)</f>
        <v>7</v>
      </c>
      <c r="AY19" s="5"/>
      <c r="AZ19" s="13">
        <v>2</v>
      </c>
      <c r="BA19" s="14" t="s">
        <v>17</v>
      </c>
      <c r="BB19" s="13">
        <v>0</v>
      </c>
      <c r="BC19" s="17">
        <f t="shared" ref="BC19:BC24" si="37">IF(OR(B19="", D19=""), "-",
  IF(OR(AZ19="", BB19=""), 0,
    IF(AND(AZ19=B19, BB19=D19), 10,
      IF(AND(OR(AND(B19&gt;D19, AZ19&gt;BB19), AND(B19&lt;D19, AZ19&lt;BB19), AND(B19=D19, AZ19=BB19)), OR(AZ19=B19, BB19=D19)), 7,
        IF(OR(AND(B19&gt;D19, AZ19&gt;BB19), AND(B19&lt;D19, AZ19&lt;BB19), AND(B19=D19, AZ19=BB19)), 5,
          IF(OR(AZ19=B19, BB19=D19), 2, 0)
        )
      )
    )
  )
)</f>
        <v>7</v>
      </c>
      <c r="BD19" s="6"/>
      <c r="BE19" s="13">
        <v>3</v>
      </c>
      <c r="BF19" s="14" t="s">
        <v>17</v>
      </c>
      <c r="BG19" s="13">
        <v>0</v>
      </c>
      <c r="BH19" s="19">
        <f t="shared" ref="BH19:BH24" si="38">IF(OR(B19="", D19=""), "-",
  IF(OR(BE19="", BG19=""), 0,
    IF(AND(BE19=B19, BG19=D19), 10,
      IF(AND(OR(AND(B19&gt;D19, BE19&gt;BG19), AND(B19&lt;D19, BE19&lt;BG19), AND(B19=D19, BE19=BG19)), OR(BE19=B19, BG19=D19)), 7,
        IF(OR(AND(B19&gt;D19, BE19&gt;BG19), AND(B19&lt;D19, BE19&lt;BG19), AND(B19=D19, BE19=BG19)), 5,
          IF(OR(BE19=B19, BG19=D19), 2, 0)
        )
      )
    )
  )
)</f>
        <v>7</v>
      </c>
      <c r="BI19" s="6"/>
      <c r="BJ19" s="13">
        <v>4</v>
      </c>
      <c r="BK19" s="14" t="s">
        <v>17</v>
      </c>
      <c r="BL19" s="13">
        <v>0</v>
      </c>
      <c r="BM19" s="19">
        <f t="shared" ref="BM19:BM24" si="39">IF(OR(B19="", D19=""), "-",
  IF(OR(BJ19="", BL19=""), 0,
    IF(AND(BJ19=B19, BL19=D19), 10,
      IF(AND(OR(AND(B19&gt;D19, BJ19&gt;BL19), AND(B19&lt;D19, BJ19&lt;BL19), AND(B19=D19, BJ19=BL19)), OR(BJ19=B19, BL19=D19)), 7,
        IF(OR(AND(B19&gt;D19, BJ19&gt;BL19), AND(B19&lt;D19, BJ19&lt;BL19), AND(B19=D19, BJ19=BL19)), 5,
          IF(OR(BJ19=B19, BL19=D19), 2, 0)
        )
      )
    )
  )
)</f>
        <v>7</v>
      </c>
      <c r="BN19" s="6"/>
      <c r="BO19" s="13">
        <v>4</v>
      </c>
      <c r="BP19" s="14" t="s">
        <v>17</v>
      </c>
      <c r="BQ19" s="13">
        <v>0</v>
      </c>
      <c r="BR19" s="19">
        <f t="shared" ref="BR19:BR24" si="40">IF(OR(B19="", D19=""), "-",
  IF(OR(BO19="", BQ19=""), 0,
    IF(AND(BO19=B19, BQ19=D19), 10,
      IF(AND(OR(AND(B19&gt;D19, BO19&gt;BQ19), AND(B19&lt;D19, BO19&lt;BQ19), AND(B19=D19, BO19=BQ19)), OR(BO19=B19, BQ19=D19)), 7,
        IF(OR(AND(B19&gt;D19, BO19&gt;BQ19), AND(B19&lt;D19, BO19&lt;BQ19), AND(B19=D19, BO19=BQ19)), 5,
          IF(OR(BO19=B19, BQ19=D19), 2, 0)
        )
      )
    )
  )
)</f>
        <v>7</v>
      </c>
      <c r="BS19" s="6"/>
      <c r="BT19" s="13">
        <v>3</v>
      </c>
      <c r="BU19" s="14" t="s">
        <v>17</v>
      </c>
      <c r="BV19" s="13">
        <v>1</v>
      </c>
      <c r="BW19" s="19">
        <f t="shared" ref="BW19:BW24" si="41">IF(OR(B19="", D19=""), "-",
  IF(OR(BT19="", BV19=""), 0,
    IF(AND(BT19=B19, BV19=D19), 10,
      IF(AND(OR(AND(B19&gt;D19, BT19&gt;BV19), AND(B19&lt;D19, BT19&lt;BV19), AND(B19=D19, BT19=BV19)), OR(BT19=B19, BV19=D19)), 7,
        IF(OR(AND(B19&gt;D19, BT19&gt;BV19), AND(B19&lt;D19, BT19&lt;BV19), AND(B19=D19, BT19=BV19)), 5,
          IF(OR(BT19=B19, BV19=D19), 2, 0)
        )
      )
    )
  )
)</f>
        <v>5</v>
      </c>
      <c r="BX19" s="1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</row>
    <row r="20" spans="1:89" ht="17.399999999999999">
      <c r="A20" s="59" t="s">
        <v>29</v>
      </c>
      <c r="B20" s="60">
        <v>2</v>
      </c>
      <c r="C20" s="61" t="s">
        <v>17</v>
      </c>
      <c r="D20" s="60">
        <v>2</v>
      </c>
      <c r="E20" s="59" t="s">
        <v>30</v>
      </c>
      <c r="F20" s="1"/>
      <c r="G20" s="60">
        <v>1</v>
      </c>
      <c r="H20" s="61" t="s">
        <v>17</v>
      </c>
      <c r="I20" s="60">
        <v>2</v>
      </c>
      <c r="J20" s="62">
        <f t="shared" si="28"/>
        <v>2</v>
      </c>
      <c r="K20" s="44"/>
      <c r="L20" s="60">
        <v>1</v>
      </c>
      <c r="M20" s="61" t="s">
        <v>17</v>
      </c>
      <c r="N20" s="60">
        <v>1</v>
      </c>
      <c r="O20" s="62">
        <f t="shared" si="29"/>
        <v>5</v>
      </c>
      <c r="P20" s="44"/>
      <c r="Q20" s="60">
        <v>1</v>
      </c>
      <c r="R20" s="61" t="s">
        <v>17</v>
      </c>
      <c r="S20" s="60">
        <v>1</v>
      </c>
      <c r="T20" s="62">
        <f t="shared" si="30"/>
        <v>5</v>
      </c>
      <c r="U20" s="44"/>
      <c r="V20" s="60">
        <v>1</v>
      </c>
      <c r="W20" s="61" t="s">
        <v>17</v>
      </c>
      <c r="X20" s="60">
        <v>1</v>
      </c>
      <c r="Y20" s="62">
        <f t="shared" si="31"/>
        <v>5</v>
      </c>
      <c r="Z20" s="44"/>
      <c r="AA20" s="60">
        <v>2</v>
      </c>
      <c r="AB20" s="61" t="s">
        <v>17</v>
      </c>
      <c r="AC20" s="60">
        <v>2</v>
      </c>
      <c r="AD20" s="62">
        <f t="shared" si="32"/>
        <v>10</v>
      </c>
      <c r="AE20" s="44"/>
      <c r="AF20" s="60">
        <v>1</v>
      </c>
      <c r="AG20" s="61" t="s">
        <v>17</v>
      </c>
      <c r="AH20" s="60">
        <v>1</v>
      </c>
      <c r="AI20" s="62">
        <f t="shared" si="33"/>
        <v>5</v>
      </c>
      <c r="AJ20" s="44"/>
      <c r="AK20" s="60">
        <v>2</v>
      </c>
      <c r="AL20" s="61" t="s">
        <v>17</v>
      </c>
      <c r="AM20" s="60">
        <v>2</v>
      </c>
      <c r="AN20" s="62">
        <f t="shared" si="34"/>
        <v>10</v>
      </c>
      <c r="AO20" s="44"/>
      <c r="AP20" s="60"/>
      <c r="AQ20" s="61" t="s">
        <v>17</v>
      </c>
      <c r="AR20" s="60"/>
      <c r="AS20" s="62">
        <f t="shared" si="35"/>
        <v>0</v>
      </c>
      <c r="AT20" s="44"/>
      <c r="AU20" s="60">
        <v>0</v>
      </c>
      <c r="AV20" s="61" t="s">
        <v>17</v>
      </c>
      <c r="AW20" s="60">
        <v>1</v>
      </c>
      <c r="AX20" s="62">
        <f t="shared" si="36"/>
        <v>0</v>
      </c>
      <c r="AY20" s="5"/>
      <c r="AZ20" s="60">
        <v>1</v>
      </c>
      <c r="BA20" s="61" t="s">
        <v>17</v>
      </c>
      <c r="BB20" s="60">
        <v>2</v>
      </c>
      <c r="BC20" s="62">
        <f t="shared" si="37"/>
        <v>2</v>
      </c>
      <c r="BD20" s="6"/>
      <c r="BE20" s="60">
        <v>1</v>
      </c>
      <c r="BF20" s="61" t="s">
        <v>17</v>
      </c>
      <c r="BG20" s="60">
        <v>2</v>
      </c>
      <c r="BH20" s="63">
        <f t="shared" si="38"/>
        <v>2</v>
      </c>
      <c r="BI20" s="6"/>
      <c r="BJ20" s="60">
        <v>2</v>
      </c>
      <c r="BK20" s="61" t="s">
        <v>17</v>
      </c>
      <c r="BL20" s="60">
        <v>2</v>
      </c>
      <c r="BM20" s="63">
        <f t="shared" si="39"/>
        <v>10</v>
      </c>
      <c r="BN20" s="6"/>
      <c r="BO20" s="60">
        <v>1</v>
      </c>
      <c r="BP20" s="61" t="s">
        <v>17</v>
      </c>
      <c r="BQ20" s="60">
        <v>3</v>
      </c>
      <c r="BR20" s="63">
        <f t="shared" si="40"/>
        <v>0</v>
      </c>
      <c r="BS20" s="6"/>
      <c r="BT20" s="60">
        <v>2</v>
      </c>
      <c r="BU20" s="61" t="s">
        <v>17</v>
      </c>
      <c r="BV20" s="60">
        <v>1</v>
      </c>
      <c r="BW20" s="63">
        <f t="shared" si="41"/>
        <v>2</v>
      </c>
      <c r="BX20" s="1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</row>
    <row r="21" spans="1:89" ht="17.399999999999999">
      <c r="A21" s="12" t="s">
        <v>30</v>
      </c>
      <c r="B21" s="13">
        <v>6</v>
      </c>
      <c r="C21" s="14" t="s">
        <v>17</v>
      </c>
      <c r="D21" s="13">
        <v>0</v>
      </c>
      <c r="E21" s="12" t="s">
        <v>28</v>
      </c>
      <c r="F21" s="1"/>
      <c r="G21" s="13">
        <v>2</v>
      </c>
      <c r="H21" s="14" t="s">
        <v>17</v>
      </c>
      <c r="I21" s="13">
        <v>0</v>
      </c>
      <c r="J21" s="17">
        <f t="shared" si="28"/>
        <v>7</v>
      </c>
      <c r="K21" s="44"/>
      <c r="L21" s="13">
        <v>3</v>
      </c>
      <c r="M21" s="14" t="s">
        <v>17</v>
      </c>
      <c r="N21" s="13">
        <v>0</v>
      </c>
      <c r="O21" s="17">
        <f t="shared" si="29"/>
        <v>7</v>
      </c>
      <c r="P21" s="44"/>
      <c r="Q21" s="13">
        <v>4</v>
      </c>
      <c r="R21" s="14" t="s">
        <v>17</v>
      </c>
      <c r="S21" s="13">
        <v>0</v>
      </c>
      <c r="T21" s="17">
        <f t="shared" si="30"/>
        <v>7</v>
      </c>
      <c r="U21" s="44"/>
      <c r="V21" s="13">
        <v>0</v>
      </c>
      <c r="W21" s="14" t="s">
        <v>17</v>
      </c>
      <c r="X21" s="13">
        <v>0</v>
      </c>
      <c r="Y21" s="17">
        <f t="shared" si="31"/>
        <v>2</v>
      </c>
      <c r="Z21" s="44"/>
      <c r="AA21" s="13">
        <v>0</v>
      </c>
      <c r="AB21" s="14" t="s">
        <v>17</v>
      </c>
      <c r="AC21" s="13">
        <v>0</v>
      </c>
      <c r="AD21" s="17">
        <f t="shared" si="32"/>
        <v>2</v>
      </c>
      <c r="AE21" s="44"/>
      <c r="AF21" s="13">
        <v>2</v>
      </c>
      <c r="AG21" s="14" t="s">
        <v>17</v>
      </c>
      <c r="AH21" s="13">
        <v>1</v>
      </c>
      <c r="AI21" s="17">
        <f t="shared" si="33"/>
        <v>5</v>
      </c>
      <c r="AJ21" s="44"/>
      <c r="AK21" s="13">
        <v>3</v>
      </c>
      <c r="AL21" s="14" t="s">
        <v>17</v>
      </c>
      <c r="AM21" s="13">
        <v>0</v>
      </c>
      <c r="AN21" s="17">
        <f t="shared" si="34"/>
        <v>7</v>
      </c>
      <c r="AO21" s="44"/>
      <c r="AP21" s="13"/>
      <c r="AQ21" s="14" t="s">
        <v>17</v>
      </c>
      <c r="AR21" s="13"/>
      <c r="AS21" s="17">
        <f t="shared" si="35"/>
        <v>0</v>
      </c>
      <c r="AT21" s="44"/>
      <c r="AU21" s="13">
        <v>3</v>
      </c>
      <c r="AV21" s="14" t="s">
        <v>17</v>
      </c>
      <c r="AW21" s="13">
        <v>0</v>
      </c>
      <c r="AX21" s="17">
        <f t="shared" si="36"/>
        <v>7</v>
      </c>
      <c r="AY21" s="5"/>
      <c r="AZ21" s="13">
        <v>2</v>
      </c>
      <c r="BA21" s="14" t="s">
        <v>17</v>
      </c>
      <c r="BB21" s="13">
        <v>0</v>
      </c>
      <c r="BC21" s="17">
        <f t="shared" si="37"/>
        <v>7</v>
      </c>
      <c r="BD21" s="6"/>
      <c r="BE21" s="13">
        <v>2</v>
      </c>
      <c r="BF21" s="14" t="s">
        <v>17</v>
      </c>
      <c r="BG21" s="13">
        <v>0</v>
      </c>
      <c r="BH21" s="19">
        <f t="shared" si="38"/>
        <v>7</v>
      </c>
      <c r="BI21" s="6"/>
      <c r="BJ21" s="13">
        <v>2</v>
      </c>
      <c r="BK21" s="14" t="s">
        <v>17</v>
      </c>
      <c r="BL21" s="13">
        <v>1</v>
      </c>
      <c r="BM21" s="19">
        <f t="shared" si="39"/>
        <v>5</v>
      </c>
      <c r="BN21" s="6"/>
      <c r="BO21" s="13">
        <v>2</v>
      </c>
      <c r="BP21" s="14" t="s">
        <v>17</v>
      </c>
      <c r="BQ21" s="13">
        <v>0</v>
      </c>
      <c r="BR21" s="19">
        <f t="shared" si="40"/>
        <v>7</v>
      </c>
      <c r="BS21" s="6"/>
      <c r="BT21" s="13">
        <v>0</v>
      </c>
      <c r="BU21" s="14" t="s">
        <v>17</v>
      </c>
      <c r="BV21" s="13">
        <v>2</v>
      </c>
      <c r="BW21" s="19">
        <f t="shared" si="41"/>
        <v>0</v>
      </c>
      <c r="BX21" s="1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</row>
    <row r="22" spans="1:89" ht="17.399999999999999">
      <c r="A22" s="59" t="s">
        <v>27</v>
      </c>
      <c r="B22" s="60">
        <v>2</v>
      </c>
      <c r="C22" s="61" t="s">
        <v>17</v>
      </c>
      <c r="D22" s="60">
        <v>1</v>
      </c>
      <c r="E22" s="59" t="s">
        <v>29</v>
      </c>
      <c r="F22" s="1"/>
      <c r="G22" s="60">
        <v>1</v>
      </c>
      <c r="H22" s="61" t="s">
        <v>17</v>
      </c>
      <c r="I22" s="60">
        <v>1</v>
      </c>
      <c r="J22" s="62">
        <f t="shared" si="28"/>
        <v>2</v>
      </c>
      <c r="K22" s="44"/>
      <c r="L22" s="60">
        <v>3</v>
      </c>
      <c r="M22" s="61" t="s">
        <v>17</v>
      </c>
      <c r="N22" s="60">
        <v>1</v>
      </c>
      <c r="O22" s="62">
        <f t="shared" si="29"/>
        <v>7</v>
      </c>
      <c r="P22" s="44"/>
      <c r="Q22" s="60">
        <v>3</v>
      </c>
      <c r="R22" s="61" t="s">
        <v>17</v>
      </c>
      <c r="S22" s="60">
        <v>1</v>
      </c>
      <c r="T22" s="62">
        <f t="shared" si="30"/>
        <v>7</v>
      </c>
      <c r="U22" s="44"/>
      <c r="V22" s="60">
        <v>2</v>
      </c>
      <c r="W22" s="61" t="s">
        <v>17</v>
      </c>
      <c r="X22" s="60">
        <v>1</v>
      </c>
      <c r="Y22" s="62">
        <f t="shared" si="31"/>
        <v>10</v>
      </c>
      <c r="Z22" s="44"/>
      <c r="AA22" s="60">
        <v>1</v>
      </c>
      <c r="AB22" s="61" t="s">
        <v>17</v>
      </c>
      <c r="AC22" s="60">
        <v>2</v>
      </c>
      <c r="AD22" s="62">
        <f t="shared" si="32"/>
        <v>0</v>
      </c>
      <c r="AE22" s="44"/>
      <c r="AF22" s="60">
        <v>3</v>
      </c>
      <c r="AG22" s="61" t="s">
        <v>17</v>
      </c>
      <c r="AH22" s="60">
        <v>0</v>
      </c>
      <c r="AI22" s="62">
        <f t="shared" si="33"/>
        <v>5</v>
      </c>
      <c r="AJ22" s="44"/>
      <c r="AK22" s="60">
        <v>3</v>
      </c>
      <c r="AL22" s="61" t="s">
        <v>17</v>
      </c>
      <c r="AM22" s="60">
        <v>1</v>
      </c>
      <c r="AN22" s="62">
        <f t="shared" si="34"/>
        <v>7</v>
      </c>
      <c r="AO22" s="44"/>
      <c r="AP22" s="60"/>
      <c r="AQ22" s="61" t="s">
        <v>17</v>
      </c>
      <c r="AR22" s="60"/>
      <c r="AS22" s="62">
        <f t="shared" si="35"/>
        <v>0</v>
      </c>
      <c r="AT22" s="44"/>
      <c r="AU22" s="60">
        <v>3</v>
      </c>
      <c r="AV22" s="61" t="s">
        <v>17</v>
      </c>
      <c r="AW22" s="60">
        <v>1</v>
      </c>
      <c r="AX22" s="62">
        <f t="shared" si="36"/>
        <v>7</v>
      </c>
      <c r="AY22" s="5"/>
      <c r="AZ22" s="60">
        <v>0</v>
      </c>
      <c r="BA22" s="61" t="s">
        <v>17</v>
      </c>
      <c r="BB22" s="60">
        <v>0</v>
      </c>
      <c r="BC22" s="62">
        <f t="shared" si="37"/>
        <v>0</v>
      </c>
      <c r="BD22" s="6"/>
      <c r="BE22" s="60">
        <v>2</v>
      </c>
      <c r="BF22" s="61" t="s">
        <v>17</v>
      </c>
      <c r="BG22" s="60">
        <v>0</v>
      </c>
      <c r="BH22" s="63">
        <f t="shared" si="38"/>
        <v>7</v>
      </c>
      <c r="BI22" s="6"/>
      <c r="BJ22" s="60">
        <v>2</v>
      </c>
      <c r="BK22" s="61" t="s">
        <v>17</v>
      </c>
      <c r="BL22" s="60">
        <v>1</v>
      </c>
      <c r="BM22" s="63">
        <f t="shared" si="39"/>
        <v>10</v>
      </c>
      <c r="BN22" s="6"/>
      <c r="BO22" s="60">
        <v>3</v>
      </c>
      <c r="BP22" s="61" t="s">
        <v>17</v>
      </c>
      <c r="BQ22" s="60">
        <v>1</v>
      </c>
      <c r="BR22" s="63">
        <f t="shared" si="40"/>
        <v>7</v>
      </c>
      <c r="BS22" s="6"/>
      <c r="BT22" s="60">
        <v>2</v>
      </c>
      <c r="BU22" s="61" t="s">
        <v>17</v>
      </c>
      <c r="BV22" s="60">
        <v>0</v>
      </c>
      <c r="BW22" s="63">
        <f t="shared" si="41"/>
        <v>7</v>
      </c>
      <c r="BX22" s="1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</row>
    <row r="23" spans="1:89" ht="17.399999999999999">
      <c r="A23" s="12" t="s">
        <v>30</v>
      </c>
      <c r="B23" s="13">
        <v>1</v>
      </c>
      <c r="C23" s="14" t="s">
        <v>17</v>
      </c>
      <c r="D23" s="13">
        <v>0</v>
      </c>
      <c r="E23" s="12" t="s">
        <v>27</v>
      </c>
      <c r="F23" s="1"/>
      <c r="G23" s="13">
        <v>0</v>
      </c>
      <c r="H23" s="14" t="s">
        <v>17</v>
      </c>
      <c r="I23" s="13">
        <v>3</v>
      </c>
      <c r="J23" s="17">
        <f t="shared" si="28"/>
        <v>0</v>
      </c>
      <c r="K23" s="44"/>
      <c r="L23" s="13">
        <v>1</v>
      </c>
      <c r="M23" s="14" t="s">
        <v>17</v>
      </c>
      <c r="N23" s="13">
        <v>2</v>
      </c>
      <c r="O23" s="17">
        <f t="shared" si="29"/>
        <v>2</v>
      </c>
      <c r="P23" s="44"/>
      <c r="Q23" s="13">
        <v>0</v>
      </c>
      <c r="R23" s="14" t="s">
        <v>17</v>
      </c>
      <c r="S23" s="13">
        <v>3</v>
      </c>
      <c r="T23" s="17">
        <f t="shared" si="30"/>
        <v>0</v>
      </c>
      <c r="U23" s="44"/>
      <c r="V23" s="13">
        <v>0</v>
      </c>
      <c r="W23" s="14" t="s">
        <v>17</v>
      </c>
      <c r="X23" s="13">
        <v>1</v>
      </c>
      <c r="Y23" s="17">
        <f t="shared" si="31"/>
        <v>0</v>
      </c>
      <c r="Z23" s="44"/>
      <c r="AA23" s="13">
        <v>2</v>
      </c>
      <c r="AB23" s="14" t="s">
        <v>17</v>
      </c>
      <c r="AC23" s="13">
        <v>3</v>
      </c>
      <c r="AD23" s="17">
        <f t="shared" si="32"/>
        <v>0</v>
      </c>
      <c r="AE23" s="44"/>
      <c r="AF23" s="13">
        <v>1</v>
      </c>
      <c r="AG23" s="14" t="s">
        <v>17</v>
      </c>
      <c r="AH23" s="13">
        <v>3</v>
      </c>
      <c r="AI23" s="17">
        <f t="shared" si="33"/>
        <v>2</v>
      </c>
      <c r="AJ23" s="44"/>
      <c r="AK23" s="13">
        <v>1</v>
      </c>
      <c r="AL23" s="14" t="s">
        <v>17</v>
      </c>
      <c r="AM23" s="13">
        <v>2</v>
      </c>
      <c r="AN23" s="17">
        <f t="shared" si="34"/>
        <v>2</v>
      </c>
      <c r="AO23" s="44"/>
      <c r="AP23" s="13"/>
      <c r="AQ23" s="14" t="s">
        <v>17</v>
      </c>
      <c r="AR23" s="13"/>
      <c r="AS23" s="17">
        <f t="shared" si="35"/>
        <v>0</v>
      </c>
      <c r="AT23" s="44"/>
      <c r="AU23" s="13">
        <v>1</v>
      </c>
      <c r="AV23" s="14" t="s">
        <v>17</v>
      </c>
      <c r="AW23" s="13">
        <v>3</v>
      </c>
      <c r="AX23" s="17">
        <f t="shared" si="36"/>
        <v>2</v>
      </c>
      <c r="AY23" s="5"/>
      <c r="AZ23" s="13">
        <v>1</v>
      </c>
      <c r="BA23" s="14" t="s">
        <v>17</v>
      </c>
      <c r="BB23" s="13">
        <v>1</v>
      </c>
      <c r="BC23" s="17">
        <f t="shared" si="37"/>
        <v>2</v>
      </c>
      <c r="BD23" s="6"/>
      <c r="BE23" s="13">
        <v>2</v>
      </c>
      <c r="BF23" s="14" t="s">
        <v>17</v>
      </c>
      <c r="BG23" s="13">
        <v>2</v>
      </c>
      <c r="BH23" s="19">
        <f t="shared" si="38"/>
        <v>0</v>
      </c>
      <c r="BI23" s="6"/>
      <c r="BJ23" s="13">
        <v>1</v>
      </c>
      <c r="BK23" s="14" t="s">
        <v>17</v>
      </c>
      <c r="BL23" s="13">
        <v>1</v>
      </c>
      <c r="BM23" s="19">
        <f t="shared" si="39"/>
        <v>2</v>
      </c>
      <c r="BN23" s="6"/>
      <c r="BO23" s="13">
        <v>0</v>
      </c>
      <c r="BP23" s="14" t="s">
        <v>17</v>
      </c>
      <c r="BQ23" s="13">
        <v>2</v>
      </c>
      <c r="BR23" s="19">
        <f t="shared" si="40"/>
        <v>0</v>
      </c>
      <c r="BS23" s="6"/>
      <c r="BT23" s="13">
        <v>0</v>
      </c>
      <c r="BU23" s="14" t="s">
        <v>17</v>
      </c>
      <c r="BV23" s="13">
        <v>0</v>
      </c>
      <c r="BW23" s="19">
        <f t="shared" si="41"/>
        <v>2</v>
      </c>
      <c r="BX23" s="1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</row>
    <row r="24" spans="1:89" ht="17.399999999999999">
      <c r="A24" s="59" t="s">
        <v>28</v>
      </c>
      <c r="B24" s="60">
        <v>1</v>
      </c>
      <c r="C24" s="61" t="s">
        <v>17</v>
      </c>
      <c r="D24" s="60">
        <v>1</v>
      </c>
      <c r="E24" s="59" t="s">
        <v>29</v>
      </c>
      <c r="F24" s="1"/>
      <c r="G24" s="60">
        <v>2</v>
      </c>
      <c r="H24" s="61" t="s">
        <v>17</v>
      </c>
      <c r="I24" s="60">
        <v>1</v>
      </c>
      <c r="J24" s="62">
        <f t="shared" si="28"/>
        <v>2</v>
      </c>
      <c r="K24" s="44"/>
      <c r="L24" s="60">
        <v>0</v>
      </c>
      <c r="M24" s="61" t="s">
        <v>17</v>
      </c>
      <c r="N24" s="60">
        <v>3</v>
      </c>
      <c r="O24" s="62">
        <f t="shared" si="29"/>
        <v>0</v>
      </c>
      <c r="P24" s="44"/>
      <c r="Q24" s="60">
        <v>0</v>
      </c>
      <c r="R24" s="61" t="s">
        <v>17</v>
      </c>
      <c r="S24" s="60">
        <v>3</v>
      </c>
      <c r="T24" s="62">
        <f t="shared" si="30"/>
        <v>0</v>
      </c>
      <c r="U24" s="44"/>
      <c r="V24" s="60">
        <v>0</v>
      </c>
      <c r="W24" s="61" t="s">
        <v>17</v>
      </c>
      <c r="X24" s="60">
        <v>1</v>
      </c>
      <c r="Y24" s="62">
        <f t="shared" si="31"/>
        <v>2</v>
      </c>
      <c r="Z24" s="44"/>
      <c r="AA24" s="60">
        <v>1</v>
      </c>
      <c r="AB24" s="61" t="s">
        <v>17</v>
      </c>
      <c r="AC24" s="60">
        <v>2</v>
      </c>
      <c r="AD24" s="62">
        <f t="shared" si="32"/>
        <v>2</v>
      </c>
      <c r="AE24" s="44"/>
      <c r="AF24" s="60">
        <v>0</v>
      </c>
      <c r="AG24" s="61" t="s">
        <v>17</v>
      </c>
      <c r="AH24" s="60">
        <v>2</v>
      </c>
      <c r="AI24" s="62">
        <f t="shared" si="33"/>
        <v>0</v>
      </c>
      <c r="AJ24" s="44"/>
      <c r="AK24" s="60">
        <v>0</v>
      </c>
      <c r="AL24" s="61" t="s">
        <v>17</v>
      </c>
      <c r="AM24" s="60">
        <v>2</v>
      </c>
      <c r="AN24" s="62">
        <f t="shared" si="34"/>
        <v>0</v>
      </c>
      <c r="AO24" s="44"/>
      <c r="AP24" s="60"/>
      <c r="AQ24" s="61" t="s">
        <v>17</v>
      </c>
      <c r="AR24" s="60"/>
      <c r="AS24" s="62">
        <f t="shared" si="35"/>
        <v>0</v>
      </c>
      <c r="AT24" s="44"/>
      <c r="AU24" s="60">
        <v>0</v>
      </c>
      <c r="AV24" s="61" t="s">
        <v>17</v>
      </c>
      <c r="AW24" s="60">
        <v>2</v>
      </c>
      <c r="AX24" s="62">
        <f t="shared" si="36"/>
        <v>0</v>
      </c>
      <c r="AY24" s="5"/>
      <c r="AZ24" s="60">
        <v>0</v>
      </c>
      <c r="BA24" s="61" t="s">
        <v>17</v>
      </c>
      <c r="BB24" s="60">
        <v>1</v>
      </c>
      <c r="BC24" s="62">
        <f t="shared" si="37"/>
        <v>2</v>
      </c>
      <c r="BD24" s="6"/>
      <c r="BE24" s="60">
        <v>0</v>
      </c>
      <c r="BF24" s="61" t="s">
        <v>17</v>
      </c>
      <c r="BG24" s="60">
        <v>1</v>
      </c>
      <c r="BH24" s="63">
        <f t="shared" si="38"/>
        <v>2</v>
      </c>
      <c r="BI24" s="6"/>
      <c r="BJ24" s="60">
        <v>0</v>
      </c>
      <c r="BK24" s="61" t="s">
        <v>17</v>
      </c>
      <c r="BL24" s="60">
        <v>2</v>
      </c>
      <c r="BM24" s="63">
        <f t="shared" si="39"/>
        <v>0</v>
      </c>
      <c r="BN24" s="6"/>
      <c r="BO24" s="60">
        <v>0</v>
      </c>
      <c r="BP24" s="61" t="s">
        <v>17</v>
      </c>
      <c r="BQ24" s="60">
        <v>1</v>
      </c>
      <c r="BR24" s="63">
        <f t="shared" si="40"/>
        <v>2</v>
      </c>
      <c r="BS24" s="6"/>
      <c r="BT24" s="60">
        <v>0</v>
      </c>
      <c r="BU24" s="61" t="s">
        <v>17</v>
      </c>
      <c r="BV24" s="60">
        <v>2</v>
      </c>
      <c r="BW24" s="63">
        <f t="shared" si="41"/>
        <v>0</v>
      </c>
      <c r="BX24" s="1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</row>
    <row r="25" spans="1:89" ht="17.399999999999999">
      <c r="A25" s="64"/>
      <c r="B25" s="64"/>
      <c r="C25" s="65"/>
      <c r="D25" s="64"/>
      <c r="E25" s="64"/>
      <c r="F25" s="1"/>
      <c r="G25" s="320">
        <f>SUM(J19:J24)</f>
        <v>20</v>
      </c>
      <c r="H25" s="301"/>
      <c r="I25" s="301"/>
      <c r="J25" s="32"/>
      <c r="K25" s="33"/>
      <c r="L25" s="320">
        <f>SUM(O19:O24)</f>
        <v>28</v>
      </c>
      <c r="M25" s="301"/>
      <c r="N25" s="301"/>
      <c r="O25" s="32"/>
      <c r="P25" s="33"/>
      <c r="Q25" s="320">
        <f>SUM(T19:T24)</f>
        <v>26</v>
      </c>
      <c r="R25" s="301"/>
      <c r="S25" s="301"/>
      <c r="T25" s="32"/>
      <c r="U25" s="33"/>
      <c r="V25" s="320">
        <f>SUM(Y19:Y24)</f>
        <v>26</v>
      </c>
      <c r="W25" s="301"/>
      <c r="X25" s="301"/>
      <c r="Y25" s="32"/>
      <c r="Z25" s="33"/>
      <c r="AA25" s="320">
        <f>SUM(AD19:AD24)</f>
        <v>21</v>
      </c>
      <c r="AB25" s="301"/>
      <c r="AC25" s="301"/>
      <c r="AD25" s="32"/>
      <c r="AE25" s="33"/>
      <c r="AF25" s="320">
        <f>SUM(AI19:AI24)</f>
        <v>22</v>
      </c>
      <c r="AG25" s="301"/>
      <c r="AH25" s="301"/>
      <c r="AI25" s="32"/>
      <c r="AJ25" s="33"/>
      <c r="AK25" s="320">
        <f>SUM(AN19:AN24)</f>
        <v>33</v>
      </c>
      <c r="AL25" s="301"/>
      <c r="AM25" s="301"/>
      <c r="AN25" s="32"/>
      <c r="AO25" s="33"/>
      <c r="AP25" s="320">
        <f>SUM(AS19:AS24)</f>
        <v>0</v>
      </c>
      <c r="AQ25" s="301"/>
      <c r="AR25" s="301"/>
      <c r="AS25" s="34"/>
      <c r="AT25" s="33"/>
      <c r="AU25" s="320">
        <f>SUM(AX19:AX24)</f>
        <v>23</v>
      </c>
      <c r="AV25" s="301"/>
      <c r="AW25" s="301"/>
      <c r="AX25" s="35"/>
      <c r="AY25" s="5"/>
      <c r="AZ25" s="320">
        <f>SUM(BC19:BC24)</f>
        <v>20</v>
      </c>
      <c r="BA25" s="301"/>
      <c r="BB25" s="301"/>
      <c r="BC25" s="35"/>
      <c r="BD25" s="6"/>
      <c r="BE25" s="320">
        <f>SUM(BH19:BH24)</f>
        <v>25</v>
      </c>
      <c r="BF25" s="301"/>
      <c r="BG25" s="301"/>
      <c r="BH25" s="35"/>
      <c r="BI25" s="6"/>
      <c r="BJ25" s="320">
        <f>SUM(BM19:BM24)</f>
        <v>34</v>
      </c>
      <c r="BK25" s="301"/>
      <c r="BL25" s="301"/>
      <c r="BM25" s="35"/>
      <c r="BN25" s="6"/>
      <c r="BO25" s="320">
        <f>SUM(BR19:BR24)</f>
        <v>23</v>
      </c>
      <c r="BP25" s="301"/>
      <c r="BQ25" s="301"/>
      <c r="BR25" s="35"/>
      <c r="BS25" s="6"/>
      <c r="BT25" s="320">
        <f>SUM(BW19:BW24)</f>
        <v>16</v>
      </c>
      <c r="BU25" s="301"/>
      <c r="BV25" s="301"/>
      <c r="BW25" s="35"/>
      <c r="BX25" s="1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</row>
    <row r="26" spans="1:89" ht="17.399999999999999">
      <c r="A26" s="327" t="s">
        <v>31</v>
      </c>
      <c r="B26" s="301"/>
      <c r="C26" s="301"/>
      <c r="D26" s="301"/>
      <c r="E26" s="301"/>
      <c r="F26" s="1"/>
      <c r="G26" s="67"/>
      <c r="H26" s="68"/>
      <c r="I26" s="68"/>
      <c r="J26" s="69"/>
      <c r="K26" s="40"/>
      <c r="L26" s="67"/>
      <c r="M26" s="68"/>
      <c r="N26" s="68"/>
      <c r="O26" s="69"/>
      <c r="P26" s="40"/>
      <c r="Q26" s="67"/>
      <c r="R26" s="68"/>
      <c r="S26" s="68"/>
      <c r="T26" s="69"/>
      <c r="U26" s="40"/>
      <c r="V26" s="67"/>
      <c r="W26" s="68"/>
      <c r="X26" s="68"/>
      <c r="Y26" s="69"/>
      <c r="Z26" s="40"/>
      <c r="AA26" s="67"/>
      <c r="AB26" s="68"/>
      <c r="AC26" s="68"/>
      <c r="AD26" s="69"/>
      <c r="AE26" s="40"/>
      <c r="AF26" s="67"/>
      <c r="AG26" s="68"/>
      <c r="AH26" s="68"/>
      <c r="AI26" s="69"/>
      <c r="AJ26" s="40"/>
      <c r="AK26" s="67"/>
      <c r="AL26" s="68"/>
      <c r="AM26" s="68"/>
      <c r="AN26" s="69"/>
      <c r="AO26" s="40"/>
      <c r="AP26" s="67"/>
      <c r="AQ26" s="68"/>
      <c r="AR26" s="68"/>
      <c r="AS26" s="69"/>
      <c r="AT26" s="34"/>
      <c r="AU26" s="70"/>
      <c r="AV26" s="71"/>
      <c r="AW26" s="71"/>
      <c r="AX26" s="69"/>
      <c r="AY26" s="5"/>
      <c r="AZ26" s="67"/>
      <c r="BA26" s="68"/>
      <c r="BB26" s="68"/>
      <c r="BC26" s="69"/>
      <c r="BD26" s="6"/>
      <c r="BE26" s="67"/>
      <c r="BF26" s="68"/>
      <c r="BG26" s="68"/>
      <c r="BH26" s="72"/>
      <c r="BI26" s="6"/>
      <c r="BJ26" s="67"/>
      <c r="BK26" s="68"/>
      <c r="BL26" s="68"/>
      <c r="BM26" s="72"/>
      <c r="BN26" s="6"/>
      <c r="BO26" s="67"/>
      <c r="BP26" s="68"/>
      <c r="BQ26" s="68"/>
      <c r="BR26" s="72"/>
      <c r="BS26" s="6"/>
      <c r="BT26" s="67"/>
      <c r="BU26" s="68"/>
      <c r="BV26" s="68"/>
      <c r="BW26" s="72"/>
      <c r="BX26" s="1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</row>
    <row r="27" spans="1:89" ht="17.399999999999999">
      <c r="A27" s="12" t="s">
        <v>32</v>
      </c>
      <c r="B27" s="13">
        <v>2</v>
      </c>
      <c r="C27" s="14" t="s">
        <v>17</v>
      </c>
      <c r="D27" s="13">
        <v>0</v>
      </c>
      <c r="E27" s="12" t="s">
        <v>33</v>
      </c>
      <c r="F27" s="1"/>
      <c r="G27" s="13">
        <v>0</v>
      </c>
      <c r="H27" s="14" t="s">
        <v>17</v>
      </c>
      <c r="I27" s="13">
        <v>2</v>
      </c>
      <c r="J27" s="17">
        <f t="shared" ref="J27:J32" si="42">IF(OR(B27="", D27=""), "-",
  IF(OR(G27="", I27=""), 0,
    IF(AND(G27=B27, I27=D27), 10,
      IF(AND(OR(AND(B27&gt;D27, G27&gt;I27), AND(B27&lt;D27, G27&lt;I27), AND(B27=D27, G27=I27)), OR(G27=B27, I27=D27)), 7,
        IF(OR(AND(B27&gt;D27, G27&gt;I27), AND(B27&lt;D27, G27&lt;I27), AND(B27=D27, G27=I27)), 5,
          IF(OR(G27=B27, I27=D27), 2, 0)
        )
      )
    )
  )
)</f>
        <v>0</v>
      </c>
      <c r="K27" s="44"/>
      <c r="L27" s="13">
        <v>2</v>
      </c>
      <c r="M27" s="14" t="s">
        <v>17</v>
      </c>
      <c r="N27" s="13">
        <v>1</v>
      </c>
      <c r="O27" s="17">
        <f t="shared" ref="O27:O32" si="43">IF(OR(B27="", D27=""), "-",
  IF(OR(L27="", N27=""), 0,
    IF(AND(L27=B27, N27=D27), 10,
      IF(AND(OR(AND(B27&gt;D27, L27&gt;N27), AND(B27&lt;D27, L27&lt;N27), AND(B27=D27, L27=N27)), OR(L27=B27, N27=D27)), 7,
        IF(OR(AND(B27&gt;D27, L27&gt;N27), AND(B27&lt;D27, L27&lt;N27), AND(B27=D27, L27=N27)), 5,
          IF(OR(L27=B27, N27=D27), 2, 0)
        )
      )
    )
  )
)</f>
        <v>7</v>
      </c>
      <c r="P27" s="44"/>
      <c r="Q27" s="13">
        <v>2</v>
      </c>
      <c r="R27" s="14" t="s">
        <v>17</v>
      </c>
      <c r="S27" s="13">
        <v>1</v>
      </c>
      <c r="T27" s="17">
        <f t="shared" ref="T27:T32" si="44">IF(OR(B27="", D27=""), "-",
  IF(OR(Q27="", S27=""), 0,
    IF(AND(Q27=B27, S27=D27), 10,
      IF(AND(OR(AND(B27&gt;D27, Q27&gt;S27), AND(B27&lt;D27, Q27&lt;S27), AND(B27=D27, Q27=S27)), OR(Q27=B27, S27=D27)), 7,
        IF(OR(AND(B27&gt;D27, Q27&gt;S27), AND(B27&lt;D27, Q27&lt;S27), AND(B27=D27, Q27=S27)), 5,
          IF(OR(Q27=B27, S27=D27), 2, 0)
        )
      )
    )
  )
)</f>
        <v>7</v>
      </c>
      <c r="U27" s="44"/>
      <c r="V27" s="13">
        <v>1</v>
      </c>
      <c r="W27" s="14" t="s">
        <v>17</v>
      </c>
      <c r="X27" s="13">
        <v>1</v>
      </c>
      <c r="Y27" s="17">
        <f t="shared" ref="Y27:Y32" si="45">IF(OR(B27="", D27=""), "-",
  IF(OR(V27="", X27=""), 0,
    IF(AND(V27=B27, X27=D27), 10,
      IF(AND(OR(AND(B27&gt;D27, V27&gt;X27), AND(B27&lt;D27, V27&lt;X27), AND(B27=D27, V27=X27)), OR(V27=B27, X27=D27)), 7,
        IF(OR(AND(B27&gt;D27, V27&gt;X27), AND(B27&lt;D27, V27&lt;X27), AND(B27=D27, V27=X27)), 5,
          IF(OR(V27=B27, X27=D27), 2, 0)
        )
      )
    )
  )
)</f>
        <v>0</v>
      </c>
      <c r="Z27" s="44"/>
      <c r="AA27" s="13">
        <v>2</v>
      </c>
      <c r="AB27" s="14" t="s">
        <v>17</v>
      </c>
      <c r="AC27" s="13">
        <v>0</v>
      </c>
      <c r="AD27" s="17">
        <f t="shared" ref="AD27:AD32" si="46">IF(OR(B27="", D27=""), "-",
  IF(OR(AA27="", AC27=""), 0,
    IF(AND(AA27=B27, AC27=D27), 10,
      IF(AND(OR(AND(B27&gt;D27, AA27&gt;AC27), AND(B27&lt;D27, AA27&lt;AC27), AND(B27=D27, AA27=AC27)), OR(AA27=B27, AC27=D27)), 7,
        IF(OR(AND(B27&gt;D27, AA27&gt;AC27), AND(B27&lt;D27, AA27&lt;AC27), AND(B27=D27, AA27=AC27)), 5,
          IF(OR(AA27=B27, AC27=D27), 2, 0)
        )
      )
    )
  )
)</f>
        <v>10</v>
      </c>
      <c r="AE27" s="44"/>
      <c r="AF27" s="13">
        <v>2</v>
      </c>
      <c r="AG27" s="14" t="s">
        <v>17</v>
      </c>
      <c r="AH27" s="13">
        <v>0</v>
      </c>
      <c r="AI27" s="17">
        <f t="shared" ref="AI27:AI32" si="47">IF(OR(B27="", D27=""), "-",
  IF(OR(AF27="", AH27=""), 0,
    IF(AND(AF27=B27, AH27=D27), 10,
      IF(AND(OR(AND(B27&gt;D27, AF27&gt;AH27), AND(B27&lt;D27, AF27&lt;AH27), AND(B27=D27, AF27=AH27)), OR(AF27=B27, AH27=D27)), 7,
        IF(OR(AND(B27&gt;D27, AF27&gt;AH27), AND(B27&lt;D27, AF27&lt;AH27), AND(B27=D27, AF27=AH27)), 5,
          IF(OR(AF27=B27, AH27=D27), 2, 0)
        )
      )
    )
  )
)</f>
        <v>10</v>
      </c>
      <c r="AJ27" s="44"/>
      <c r="AK27" s="13">
        <v>2</v>
      </c>
      <c r="AL27" s="14" t="s">
        <v>17</v>
      </c>
      <c r="AM27" s="13">
        <v>0</v>
      </c>
      <c r="AN27" s="17">
        <f t="shared" ref="AN27:AN32" si="48">IF(OR(B27="", D27=""), "-",
  IF(OR(AK27="", AM27=""), 0,
    IF(AND(AK27=B27, AM27=D27), 10,
      IF(AND(OR(AND(B27&gt;D27, AK27&gt;AM27), AND(B27&lt;D27, AK27&lt;AM27), AND(B27=D27, AK27=AM27)), OR(AK27=B27, AM27=D27)), 7,
        IF(OR(AND(B27&gt;D27, AK27&gt;AM27), AND(B27&lt;D27, AK27&lt;AM27), AND(B27=D27, AK27=AM27)), 5,
          IF(OR(AK27=B27, AM27=D27), 2, 0)
        )
      )
    )
  )
)</f>
        <v>10</v>
      </c>
      <c r="AO27" s="44"/>
      <c r="AP27" s="13"/>
      <c r="AQ27" s="14" t="s">
        <v>17</v>
      </c>
      <c r="AR27" s="13"/>
      <c r="AS27" s="17">
        <f t="shared" ref="AS27:AS32" si="49">IF(OR(B27="", D27=""), "-",
  IF(OR(AP27="", AR27=""), 0,
    IF(AND(AP27=B27, AR27=D27), 10,
      IF(AND(OR(AND(B27&gt;D27, AP27&gt;AR27), AND(B27&lt;D27, AP27&lt;AR27), AND(B27=D27, AP27=AR27)), OR(AP27=B27, AR27=D27)), 7,
        IF(OR(AND(B27&gt;D27, AP27&gt;AR27), AND(B27&lt;D27, AP27&lt;AR27), AND(B27=D27, AP27=AR27)), 5,
          IF(OR(AP27=B27, AR27=D27), 2, 0)
        )
      )
    )
  )
)</f>
        <v>0</v>
      </c>
      <c r="AT27" s="44"/>
      <c r="AU27" s="13">
        <v>2</v>
      </c>
      <c r="AV27" s="14" t="s">
        <v>17</v>
      </c>
      <c r="AW27" s="13">
        <v>0</v>
      </c>
      <c r="AX27" s="17">
        <f t="shared" ref="AX27:AX32" si="50">IF(OR(B27="", D27=""), "-",
  IF(OR(AU27="", AW27=""), 0,
    IF(AND(AU27=B27, AW27=D27), 10,
      IF(AND(OR(AND(B27&gt;D27, AU27&gt;AW27), AND(B27&lt;D27, AU27&lt;AW27), AND(B27=D27, AU27=AW27)), OR(AU27=B27, AW27=D27)), 7,
        IF(OR(AND(B27&gt;D27, AU27&gt;AW27), AND(B27&lt;D27, AU27&lt;AW27), AND(B27=D27, AU27=AW27)), 5,
          IF(OR(AU27=B27, AW27=D27), 2, 0)
        )
      )
    )
  )
)</f>
        <v>10</v>
      </c>
      <c r="AY27" s="5"/>
      <c r="AZ27" s="13">
        <v>2</v>
      </c>
      <c r="BA27" s="14" t="s">
        <v>17</v>
      </c>
      <c r="BB27" s="13">
        <v>0</v>
      </c>
      <c r="BC27" s="17">
        <f t="shared" ref="BC27:BC32" si="51">IF(OR(B27="", D27=""), "-",
  IF(OR(AZ27="", BB27=""), 0,
    IF(AND(AZ27=B27, BB27=D27), 10,
      IF(AND(OR(AND(B27&gt;D27, AZ27&gt;BB27), AND(B27&lt;D27, AZ27&lt;BB27), AND(B27=D27, AZ27=BB27)), OR(AZ27=B27, BB27=D27)), 7,
        IF(OR(AND(B27&gt;D27, AZ27&gt;BB27), AND(B27&lt;D27, AZ27&lt;BB27), AND(B27=D27, AZ27=BB27)), 5,
          IF(OR(AZ27=B27, BB27=D27), 2, 0)
        )
      )
    )
  )
)</f>
        <v>10</v>
      </c>
      <c r="BD27" s="6"/>
      <c r="BE27" s="13">
        <v>2</v>
      </c>
      <c r="BF27" s="14" t="s">
        <v>17</v>
      </c>
      <c r="BG27" s="13">
        <v>0</v>
      </c>
      <c r="BH27" s="19">
        <f t="shared" ref="BH27:BH32" si="52">IF(OR(B27="", D27=""), "-",
  IF(OR(BE27="", BG27=""), 0,
    IF(AND(BE27=B27, BG27=D27), 10,
      IF(AND(OR(AND(B27&gt;D27, BE27&gt;BG27), AND(B27&lt;D27, BE27&lt;BG27), AND(B27=D27, BE27=BG27)), OR(BE27=B27, BG27=D27)), 7,
        IF(OR(AND(B27&gt;D27, BE27&gt;BG27), AND(B27&lt;D27, BE27&lt;BG27), AND(B27=D27, BE27=BG27)), 5,
          IF(OR(BE27=B27, BG27=D27), 2, 0)
        )
      )
    )
  )
)</f>
        <v>10</v>
      </c>
      <c r="BI27" s="6"/>
      <c r="BJ27" s="13">
        <v>3</v>
      </c>
      <c r="BK27" s="14" t="s">
        <v>17</v>
      </c>
      <c r="BL27" s="13">
        <v>0</v>
      </c>
      <c r="BM27" s="19">
        <f t="shared" ref="BM27:BM32" si="53">IF(OR(B27="", D27=""), "-",
  IF(OR(BJ27="", BL27=""), 0,
    IF(AND(BJ27=B27, BL27=D27), 10,
      IF(AND(OR(AND(B27&gt;D27, BJ27&gt;BL27), AND(B27&lt;D27, BJ27&lt;BL27), AND(B27=D27, BJ27=BL27)), OR(BJ27=B27, BL27=D27)), 7,
        IF(OR(AND(B27&gt;D27, BJ27&gt;BL27), AND(B27&lt;D27, BJ27&lt;BL27), AND(B27=D27, BJ27=BL27)), 5,
          IF(OR(BJ27=B27, BL27=D27), 2, 0)
        )
      )
    )
  )
)</f>
        <v>7</v>
      </c>
      <c r="BN27" s="6"/>
      <c r="BO27" s="13">
        <v>2</v>
      </c>
      <c r="BP27" s="14" t="s">
        <v>17</v>
      </c>
      <c r="BQ27" s="13">
        <v>0</v>
      </c>
      <c r="BR27" s="19">
        <f t="shared" ref="BR27:BR32" si="54">IF(OR(B27="", D27=""), "-",
  IF(OR(BO27="", BQ27=""), 0,
    IF(AND(BO27=B27, BQ27=D27), 10,
      IF(AND(OR(AND(B27&gt;D27, BO27&gt;BQ27), AND(B27&lt;D27, BO27&lt;BQ27), AND(B27=D27, BO27=BQ27)), OR(BO27=B27, BQ27=D27)), 7,
        IF(OR(AND(B27&gt;D27, BO27&gt;BQ27), AND(B27&lt;D27, BO27&lt;BQ27), AND(B27=D27, BO27=BQ27)), 5,
          IF(OR(BO27=B27, BQ27=D27), 2, 0)
        )
      )
    )
  )
)</f>
        <v>10</v>
      </c>
      <c r="BS27" s="6"/>
      <c r="BT27" s="13">
        <v>2</v>
      </c>
      <c r="BU27" s="14" t="s">
        <v>17</v>
      </c>
      <c r="BV27" s="13">
        <v>1</v>
      </c>
      <c r="BW27" s="19">
        <f t="shared" ref="BW27:BW32" si="55">IF(OR(B27="", D27=""), "-",
  IF(OR(BT27="", BV27=""), 0,
    IF(AND(BT27=B27, BV27=D27), 10,
      IF(AND(OR(AND(B27&gt;D27, BT27&gt;BV27), AND(B27&lt;D27, BT27&lt;BV27), AND(B27=D27, BT27=BV27)), OR(BT27=B27, BV27=D27)), 7,
        IF(OR(AND(B27&gt;D27, BT27&gt;BV27), AND(B27&lt;D27, BT27&lt;BV27), AND(B27=D27, BT27=BV27)), 5,
          IF(OR(BT27=B27, BV27=D27), 2, 0)
        )
      )
    )
  )
)</f>
        <v>7</v>
      </c>
      <c r="BX27" s="1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</row>
    <row r="28" spans="1:89" ht="17.399999999999999">
      <c r="A28" s="73" t="s">
        <v>34</v>
      </c>
      <c r="B28" s="74">
        <v>2</v>
      </c>
      <c r="C28" s="75" t="s">
        <v>17</v>
      </c>
      <c r="D28" s="74">
        <v>0</v>
      </c>
      <c r="E28" s="73" t="s">
        <v>35</v>
      </c>
      <c r="F28" s="1"/>
      <c r="G28" s="74">
        <v>1</v>
      </c>
      <c r="H28" s="75" t="s">
        <v>17</v>
      </c>
      <c r="I28" s="74">
        <v>0</v>
      </c>
      <c r="J28" s="76">
        <f t="shared" si="42"/>
        <v>7</v>
      </c>
      <c r="K28" s="44"/>
      <c r="L28" s="74">
        <v>2</v>
      </c>
      <c r="M28" s="75" t="s">
        <v>17</v>
      </c>
      <c r="N28" s="74">
        <v>0</v>
      </c>
      <c r="O28" s="76">
        <f t="shared" si="43"/>
        <v>10</v>
      </c>
      <c r="P28" s="44"/>
      <c r="Q28" s="74">
        <v>3</v>
      </c>
      <c r="R28" s="75" t="s">
        <v>17</v>
      </c>
      <c r="S28" s="74">
        <v>0</v>
      </c>
      <c r="T28" s="76">
        <f t="shared" si="44"/>
        <v>7</v>
      </c>
      <c r="U28" s="44"/>
      <c r="V28" s="74">
        <v>2</v>
      </c>
      <c r="W28" s="75" t="s">
        <v>17</v>
      </c>
      <c r="X28" s="74">
        <v>0</v>
      </c>
      <c r="Y28" s="76">
        <f t="shared" si="45"/>
        <v>10</v>
      </c>
      <c r="Z28" s="44"/>
      <c r="AA28" s="74">
        <v>2</v>
      </c>
      <c r="AB28" s="75" t="s">
        <v>17</v>
      </c>
      <c r="AC28" s="74">
        <v>0</v>
      </c>
      <c r="AD28" s="76">
        <f t="shared" si="46"/>
        <v>10</v>
      </c>
      <c r="AE28" s="44"/>
      <c r="AF28" s="74">
        <v>2</v>
      </c>
      <c r="AG28" s="75" t="s">
        <v>17</v>
      </c>
      <c r="AH28" s="74">
        <v>1</v>
      </c>
      <c r="AI28" s="76">
        <f t="shared" si="47"/>
        <v>7</v>
      </c>
      <c r="AJ28" s="44"/>
      <c r="AK28" s="74">
        <v>3</v>
      </c>
      <c r="AL28" s="75" t="s">
        <v>17</v>
      </c>
      <c r="AM28" s="74">
        <v>1</v>
      </c>
      <c r="AN28" s="76">
        <f t="shared" si="48"/>
        <v>5</v>
      </c>
      <c r="AO28" s="44"/>
      <c r="AP28" s="74"/>
      <c r="AQ28" s="75" t="s">
        <v>17</v>
      </c>
      <c r="AR28" s="74"/>
      <c r="AS28" s="76">
        <f t="shared" si="49"/>
        <v>0</v>
      </c>
      <c r="AT28" s="44"/>
      <c r="AU28" s="74">
        <v>2</v>
      </c>
      <c r="AV28" s="75" t="s">
        <v>17</v>
      </c>
      <c r="AW28" s="74">
        <v>0</v>
      </c>
      <c r="AX28" s="76">
        <f t="shared" si="50"/>
        <v>10</v>
      </c>
      <c r="AY28" s="5"/>
      <c r="AZ28" s="74">
        <v>0</v>
      </c>
      <c r="BA28" s="75" t="s">
        <v>17</v>
      </c>
      <c r="BB28" s="74">
        <v>0</v>
      </c>
      <c r="BC28" s="76">
        <f t="shared" si="51"/>
        <v>2</v>
      </c>
      <c r="BD28" s="6"/>
      <c r="BE28" s="74">
        <v>2</v>
      </c>
      <c r="BF28" s="75" t="s">
        <v>17</v>
      </c>
      <c r="BG28" s="74">
        <v>0</v>
      </c>
      <c r="BH28" s="77">
        <f t="shared" si="52"/>
        <v>10</v>
      </c>
      <c r="BI28" s="6"/>
      <c r="BJ28" s="74">
        <v>2</v>
      </c>
      <c r="BK28" s="75" t="s">
        <v>17</v>
      </c>
      <c r="BL28" s="74">
        <v>0</v>
      </c>
      <c r="BM28" s="77">
        <f t="shared" si="53"/>
        <v>10</v>
      </c>
      <c r="BN28" s="6"/>
      <c r="BO28" s="74">
        <v>2</v>
      </c>
      <c r="BP28" s="75" t="s">
        <v>17</v>
      </c>
      <c r="BQ28" s="74">
        <v>1</v>
      </c>
      <c r="BR28" s="77">
        <f t="shared" si="54"/>
        <v>7</v>
      </c>
      <c r="BS28" s="6"/>
      <c r="BT28" s="74">
        <v>1</v>
      </c>
      <c r="BU28" s="75" t="s">
        <v>17</v>
      </c>
      <c r="BV28" s="74">
        <v>0</v>
      </c>
      <c r="BW28" s="77">
        <f t="shared" si="55"/>
        <v>7</v>
      </c>
      <c r="BX28" s="1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</row>
    <row r="29" spans="1:89" ht="17.399999999999999">
      <c r="A29" s="12" t="s">
        <v>34</v>
      </c>
      <c r="B29" s="13">
        <v>3</v>
      </c>
      <c r="C29" s="14" t="s">
        <v>17</v>
      </c>
      <c r="D29" s="13">
        <v>1</v>
      </c>
      <c r="E29" s="12" t="s">
        <v>32</v>
      </c>
      <c r="F29" s="1"/>
      <c r="G29" s="13">
        <v>2</v>
      </c>
      <c r="H29" s="14" t="s">
        <v>17</v>
      </c>
      <c r="I29" s="13">
        <v>1</v>
      </c>
      <c r="J29" s="17">
        <f t="shared" si="42"/>
        <v>7</v>
      </c>
      <c r="K29" s="44"/>
      <c r="L29" s="13">
        <v>1</v>
      </c>
      <c r="M29" s="14" t="s">
        <v>17</v>
      </c>
      <c r="N29" s="13">
        <v>1</v>
      </c>
      <c r="O29" s="17">
        <f t="shared" si="43"/>
        <v>2</v>
      </c>
      <c r="P29" s="44"/>
      <c r="Q29" s="13">
        <v>2</v>
      </c>
      <c r="R29" s="14" t="s">
        <v>17</v>
      </c>
      <c r="S29" s="13">
        <v>1</v>
      </c>
      <c r="T29" s="17">
        <f t="shared" si="44"/>
        <v>7</v>
      </c>
      <c r="U29" s="44"/>
      <c r="V29" s="13">
        <v>2</v>
      </c>
      <c r="W29" s="14" t="s">
        <v>17</v>
      </c>
      <c r="X29" s="13">
        <v>1</v>
      </c>
      <c r="Y29" s="17">
        <f t="shared" si="45"/>
        <v>7</v>
      </c>
      <c r="Z29" s="44"/>
      <c r="AA29" s="13">
        <v>2</v>
      </c>
      <c r="AB29" s="14" t="s">
        <v>17</v>
      </c>
      <c r="AC29" s="13">
        <v>1</v>
      </c>
      <c r="AD29" s="17">
        <f t="shared" si="46"/>
        <v>7</v>
      </c>
      <c r="AE29" s="44"/>
      <c r="AF29" s="13">
        <v>0</v>
      </c>
      <c r="AG29" s="14" t="s">
        <v>17</v>
      </c>
      <c r="AH29" s="13">
        <v>1</v>
      </c>
      <c r="AI29" s="17">
        <f t="shared" si="47"/>
        <v>2</v>
      </c>
      <c r="AJ29" s="44"/>
      <c r="AK29" s="13">
        <v>1</v>
      </c>
      <c r="AL29" s="14" t="s">
        <v>17</v>
      </c>
      <c r="AM29" s="13">
        <v>2</v>
      </c>
      <c r="AN29" s="17">
        <f t="shared" si="48"/>
        <v>0</v>
      </c>
      <c r="AO29" s="44"/>
      <c r="AP29" s="13"/>
      <c r="AQ29" s="14" t="s">
        <v>17</v>
      </c>
      <c r="AR29" s="13"/>
      <c r="AS29" s="17">
        <f t="shared" si="49"/>
        <v>0</v>
      </c>
      <c r="AT29" s="44"/>
      <c r="AU29" s="13">
        <v>1</v>
      </c>
      <c r="AV29" s="14" t="s">
        <v>17</v>
      </c>
      <c r="AW29" s="13">
        <v>2</v>
      </c>
      <c r="AX29" s="17">
        <f t="shared" si="50"/>
        <v>0</v>
      </c>
      <c r="AY29" s="5"/>
      <c r="AZ29" s="13">
        <v>0</v>
      </c>
      <c r="BA29" s="14" t="s">
        <v>17</v>
      </c>
      <c r="BB29" s="13">
        <v>2</v>
      </c>
      <c r="BC29" s="17">
        <f t="shared" si="51"/>
        <v>0</v>
      </c>
      <c r="BD29" s="6"/>
      <c r="BE29" s="13">
        <v>1</v>
      </c>
      <c r="BF29" s="14" t="s">
        <v>17</v>
      </c>
      <c r="BG29" s="13">
        <v>2</v>
      </c>
      <c r="BH29" s="19">
        <f t="shared" si="52"/>
        <v>0</v>
      </c>
      <c r="BI29" s="6"/>
      <c r="BJ29" s="13">
        <v>1</v>
      </c>
      <c r="BK29" s="14" t="s">
        <v>17</v>
      </c>
      <c r="BL29" s="13">
        <v>2</v>
      </c>
      <c r="BM29" s="19">
        <f t="shared" si="53"/>
        <v>0</v>
      </c>
      <c r="BN29" s="6"/>
      <c r="BO29" s="13">
        <v>1</v>
      </c>
      <c r="BP29" s="14" t="s">
        <v>17</v>
      </c>
      <c r="BQ29" s="13">
        <v>2</v>
      </c>
      <c r="BR29" s="19">
        <f t="shared" si="54"/>
        <v>0</v>
      </c>
      <c r="BS29" s="6"/>
      <c r="BT29" s="13">
        <v>0</v>
      </c>
      <c r="BU29" s="14" t="s">
        <v>17</v>
      </c>
      <c r="BV29" s="13">
        <v>2</v>
      </c>
      <c r="BW29" s="19">
        <f t="shared" si="55"/>
        <v>0</v>
      </c>
      <c r="BX29" s="1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</row>
    <row r="30" spans="1:89" ht="17.399999999999999">
      <c r="A30" s="73" t="s">
        <v>33</v>
      </c>
      <c r="B30" s="74">
        <v>0</v>
      </c>
      <c r="C30" s="75" t="s">
        <v>17</v>
      </c>
      <c r="D30" s="74">
        <v>1</v>
      </c>
      <c r="E30" s="73" t="s">
        <v>35</v>
      </c>
      <c r="F30" s="1"/>
      <c r="G30" s="74">
        <v>3</v>
      </c>
      <c r="H30" s="75" t="s">
        <v>17</v>
      </c>
      <c r="I30" s="74">
        <v>2</v>
      </c>
      <c r="J30" s="76">
        <f t="shared" si="42"/>
        <v>0</v>
      </c>
      <c r="K30" s="44"/>
      <c r="L30" s="74">
        <v>2</v>
      </c>
      <c r="M30" s="75" t="s">
        <v>17</v>
      </c>
      <c r="N30" s="74">
        <v>1</v>
      </c>
      <c r="O30" s="76">
        <f t="shared" si="43"/>
        <v>2</v>
      </c>
      <c r="P30" s="44"/>
      <c r="Q30" s="74">
        <v>2</v>
      </c>
      <c r="R30" s="75" t="s">
        <v>17</v>
      </c>
      <c r="S30" s="74">
        <v>1</v>
      </c>
      <c r="T30" s="76">
        <f t="shared" si="44"/>
        <v>2</v>
      </c>
      <c r="U30" s="44"/>
      <c r="V30" s="74">
        <v>0</v>
      </c>
      <c r="W30" s="75" t="s">
        <v>17</v>
      </c>
      <c r="X30" s="74">
        <v>0</v>
      </c>
      <c r="Y30" s="76">
        <f t="shared" si="45"/>
        <v>2</v>
      </c>
      <c r="Z30" s="44"/>
      <c r="AA30" s="74">
        <v>1</v>
      </c>
      <c r="AB30" s="75" t="s">
        <v>17</v>
      </c>
      <c r="AC30" s="74">
        <v>3</v>
      </c>
      <c r="AD30" s="76">
        <f t="shared" si="46"/>
        <v>5</v>
      </c>
      <c r="AE30" s="44"/>
      <c r="AF30" s="74">
        <v>1</v>
      </c>
      <c r="AG30" s="75" t="s">
        <v>17</v>
      </c>
      <c r="AH30" s="74">
        <v>1</v>
      </c>
      <c r="AI30" s="76">
        <f t="shared" si="47"/>
        <v>2</v>
      </c>
      <c r="AJ30" s="44"/>
      <c r="AK30" s="74">
        <v>2</v>
      </c>
      <c r="AL30" s="75" t="s">
        <v>17</v>
      </c>
      <c r="AM30" s="74">
        <v>1</v>
      </c>
      <c r="AN30" s="76">
        <f t="shared" si="48"/>
        <v>2</v>
      </c>
      <c r="AO30" s="44"/>
      <c r="AP30" s="74"/>
      <c r="AQ30" s="75" t="s">
        <v>17</v>
      </c>
      <c r="AR30" s="74"/>
      <c r="AS30" s="76">
        <f t="shared" si="49"/>
        <v>0</v>
      </c>
      <c r="AT30" s="44"/>
      <c r="AU30" s="74">
        <v>1</v>
      </c>
      <c r="AV30" s="75" t="s">
        <v>17</v>
      </c>
      <c r="AW30" s="74">
        <v>0</v>
      </c>
      <c r="AX30" s="76">
        <f t="shared" si="50"/>
        <v>0</v>
      </c>
      <c r="AY30" s="5"/>
      <c r="AZ30" s="74">
        <v>1</v>
      </c>
      <c r="BA30" s="75" t="s">
        <v>17</v>
      </c>
      <c r="BB30" s="74">
        <v>1</v>
      </c>
      <c r="BC30" s="76">
        <f t="shared" si="51"/>
        <v>2</v>
      </c>
      <c r="BD30" s="6"/>
      <c r="BE30" s="74">
        <v>1</v>
      </c>
      <c r="BF30" s="75" t="s">
        <v>17</v>
      </c>
      <c r="BG30" s="74">
        <v>1</v>
      </c>
      <c r="BH30" s="77">
        <f t="shared" si="52"/>
        <v>2</v>
      </c>
      <c r="BI30" s="6"/>
      <c r="BJ30" s="74">
        <v>2</v>
      </c>
      <c r="BK30" s="75" t="s">
        <v>17</v>
      </c>
      <c r="BL30" s="74">
        <v>2</v>
      </c>
      <c r="BM30" s="77">
        <f t="shared" si="53"/>
        <v>0</v>
      </c>
      <c r="BN30" s="6"/>
      <c r="BO30" s="74">
        <v>0</v>
      </c>
      <c r="BP30" s="75" t="s">
        <v>17</v>
      </c>
      <c r="BQ30" s="74">
        <v>0</v>
      </c>
      <c r="BR30" s="77">
        <f t="shared" si="54"/>
        <v>2</v>
      </c>
      <c r="BS30" s="6"/>
      <c r="BT30" s="74">
        <v>1</v>
      </c>
      <c r="BU30" s="75" t="s">
        <v>17</v>
      </c>
      <c r="BV30" s="74">
        <v>0</v>
      </c>
      <c r="BW30" s="77">
        <f t="shared" si="55"/>
        <v>0</v>
      </c>
      <c r="BX30" s="1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</row>
    <row r="31" spans="1:89" ht="17.399999999999999">
      <c r="A31" s="12" t="s">
        <v>35</v>
      </c>
      <c r="B31" s="13">
        <v>0</v>
      </c>
      <c r="C31" s="14" t="s">
        <v>17</v>
      </c>
      <c r="D31" s="13">
        <v>3</v>
      </c>
      <c r="E31" s="12" t="s">
        <v>32</v>
      </c>
      <c r="F31" s="1"/>
      <c r="G31" s="13">
        <v>1</v>
      </c>
      <c r="H31" s="14" t="s">
        <v>17</v>
      </c>
      <c r="I31" s="13">
        <v>1</v>
      </c>
      <c r="J31" s="17">
        <f t="shared" si="42"/>
        <v>0</v>
      </c>
      <c r="K31" s="44"/>
      <c r="L31" s="13">
        <v>0</v>
      </c>
      <c r="M31" s="14" t="s">
        <v>17</v>
      </c>
      <c r="N31" s="13">
        <v>3</v>
      </c>
      <c r="O31" s="17">
        <f t="shared" si="43"/>
        <v>10</v>
      </c>
      <c r="P31" s="44"/>
      <c r="Q31" s="13">
        <v>0</v>
      </c>
      <c r="R31" s="14" t="s">
        <v>17</v>
      </c>
      <c r="S31" s="13">
        <v>3</v>
      </c>
      <c r="T31" s="17">
        <f t="shared" si="44"/>
        <v>10</v>
      </c>
      <c r="U31" s="44"/>
      <c r="V31" s="13">
        <v>0</v>
      </c>
      <c r="W31" s="14" t="s">
        <v>17</v>
      </c>
      <c r="X31" s="13">
        <v>2</v>
      </c>
      <c r="Y31" s="17">
        <f t="shared" si="45"/>
        <v>7</v>
      </c>
      <c r="Z31" s="44"/>
      <c r="AA31" s="13">
        <v>1</v>
      </c>
      <c r="AB31" s="14" t="s">
        <v>17</v>
      </c>
      <c r="AC31" s="13">
        <v>2</v>
      </c>
      <c r="AD31" s="17">
        <f t="shared" si="46"/>
        <v>5</v>
      </c>
      <c r="AE31" s="44"/>
      <c r="AF31" s="13">
        <v>0</v>
      </c>
      <c r="AG31" s="14" t="s">
        <v>17</v>
      </c>
      <c r="AH31" s="13">
        <v>4</v>
      </c>
      <c r="AI31" s="17">
        <f t="shared" si="47"/>
        <v>7</v>
      </c>
      <c r="AJ31" s="44"/>
      <c r="AK31" s="13">
        <v>0</v>
      </c>
      <c r="AL31" s="14" t="s">
        <v>17</v>
      </c>
      <c r="AM31" s="13">
        <v>3</v>
      </c>
      <c r="AN31" s="17">
        <f t="shared" si="48"/>
        <v>10</v>
      </c>
      <c r="AO31" s="44"/>
      <c r="AP31" s="13"/>
      <c r="AQ31" s="14" t="s">
        <v>17</v>
      </c>
      <c r="AR31" s="13"/>
      <c r="AS31" s="17">
        <f t="shared" si="49"/>
        <v>0</v>
      </c>
      <c r="AT31" s="44"/>
      <c r="AU31" s="13">
        <v>0</v>
      </c>
      <c r="AV31" s="14" t="s">
        <v>17</v>
      </c>
      <c r="AW31" s="13">
        <v>3</v>
      </c>
      <c r="AX31" s="17">
        <f t="shared" si="50"/>
        <v>10</v>
      </c>
      <c r="AY31" s="5"/>
      <c r="AZ31" s="13">
        <v>0</v>
      </c>
      <c r="BA31" s="14" t="s">
        <v>17</v>
      </c>
      <c r="BB31" s="13">
        <v>2</v>
      </c>
      <c r="BC31" s="17">
        <f t="shared" si="51"/>
        <v>7</v>
      </c>
      <c r="BD31" s="6"/>
      <c r="BE31" s="13">
        <v>0</v>
      </c>
      <c r="BF31" s="14" t="s">
        <v>17</v>
      </c>
      <c r="BG31" s="13">
        <v>2</v>
      </c>
      <c r="BH31" s="19">
        <f t="shared" si="52"/>
        <v>7</v>
      </c>
      <c r="BI31" s="6"/>
      <c r="BJ31" s="13">
        <v>0</v>
      </c>
      <c r="BK31" s="14" t="s">
        <v>17</v>
      </c>
      <c r="BL31" s="13">
        <v>4</v>
      </c>
      <c r="BM31" s="19">
        <f t="shared" si="53"/>
        <v>7</v>
      </c>
      <c r="BN31" s="6"/>
      <c r="BO31" s="13">
        <v>0</v>
      </c>
      <c r="BP31" s="14" t="s">
        <v>17</v>
      </c>
      <c r="BQ31" s="13">
        <v>2</v>
      </c>
      <c r="BR31" s="19">
        <f t="shared" si="54"/>
        <v>7</v>
      </c>
      <c r="BS31" s="6"/>
      <c r="BT31" s="13">
        <v>0</v>
      </c>
      <c r="BU31" s="14" t="s">
        <v>17</v>
      </c>
      <c r="BV31" s="13">
        <v>3</v>
      </c>
      <c r="BW31" s="19">
        <f t="shared" si="55"/>
        <v>10</v>
      </c>
      <c r="BX31" s="1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</row>
    <row r="32" spans="1:89" ht="17.399999999999999">
      <c r="A32" s="73" t="s">
        <v>33</v>
      </c>
      <c r="B32" s="74">
        <v>1</v>
      </c>
      <c r="C32" s="75" t="s">
        <v>17</v>
      </c>
      <c r="D32" s="74">
        <v>1</v>
      </c>
      <c r="E32" s="73" t="s">
        <v>34</v>
      </c>
      <c r="F32" s="1"/>
      <c r="G32" s="74">
        <v>0</v>
      </c>
      <c r="H32" s="75" t="s">
        <v>17</v>
      </c>
      <c r="I32" s="74">
        <v>3</v>
      </c>
      <c r="J32" s="76">
        <f t="shared" si="42"/>
        <v>0</v>
      </c>
      <c r="K32" s="44"/>
      <c r="L32" s="74">
        <v>0</v>
      </c>
      <c r="M32" s="75" t="s">
        <v>17</v>
      </c>
      <c r="N32" s="74">
        <v>2</v>
      </c>
      <c r="O32" s="76">
        <f t="shared" si="43"/>
        <v>0</v>
      </c>
      <c r="P32" s="44"/>
      <c r="Q32" s="74">
        <v>1</v>
      </c>
      <c r="R32" s="75" t="s">
        <v>17</v>
      </c>
      <c r="S32" s="74">
        <v>3</v>
      </c>
      <c r="T32" s="76">
        <f t="shared" si="44"/>
        <v>2</v>
      </c>
      <c r="U32" s="44"/>
      <c r="V32" s="74">
        <v>1</v>
      </c>
      <c r="W32" s="75" t="s">
        <v>17</v>
      </c>
      <c r="X32" s="74">
        <v>3</v>
      </c>
      <c r="Y32" s="76">
        <f t="shared" si="45"/>
        <v>2</v>
      </c>
      <c r="Z32" s="44"/>
      <c r="AA32" s="74">
        <v>0</v>
      </c>
      <c r="AB32" s="75" t="s">
        <v>17</v>
      </c>
      <c r="AC32" s="74">
        <v>4</v>
      </c>
      <c r="AD32" s="76">
        <f t="shared" si="46"/>
        <v>0</v>
      </c>
      <c r="AE32" s="44"/>
      <c r="AF32" s="74">
        <v>2</v>
      </c>
      <c r="AG32" s="75" t="s">
        <v>17</v>
      </c>
      <c r="AH32" s="74">
        <v>2</v>
      </c>
      <c r="AI32" s="76">
        <f t="shared" si="47"/>
        <v>5</v>
      </c>
      <c r="AJ32" s="44"/>
      <c r="AK32" s="74">
        <v>1</v>
      </c>
      <c r="AL32" s="75" t="s">
        <v>17</v>
      </c>
      <c r="AM32" s="74">
        <v>2</v>
      </c>
      <c r="AN32" s="76">
        <f t="shared" si="48"/>
        <v>2</v>
      </c>
      <c r="AO32" s="44"/>
      <c r="AP32" s="74"/>
      <c r="AQ32" s="75" t="s">
        <v>17</v>
      </c>
      <c r="AR32" s="74"/>
      <c r="AS32" s="76">
        <f t="shared" si="49"/>
        <v>0</v>
      </c>
      <c r="AT32" s="44"/>
      <c r="AU32" s="74">
        <v>0</v>
      </c>
      <c r="AV32" s="75" t="s">
        <v>17</v>
      </c>
      <c r="AW32" s="74">
        <v>1</v>
      </c>
      <c r="AX32" s="76">
        <f t="shared" si="50"/>
        <v>2</v>
      </c>
      <c r="AY32" s="5"/>
      <c r="AZ32" s="74">
        <v>0</v>
      </c>
      <c r="BA32" s="75" t="s">
        <v>17</v>
      </c>
      <c r="BB32" s="74">
        <v>0</v>
      </c>
      <c r="BC32" s="76">
        <f t="shared" si="51"/>
        <v>5</v>
      </c>
      <c r="BD32" s="6"/>
      <c r="BE32" s="74">
        <v>1</v>
      </c>
      <c r="BF32" s="75" t="s">
        <v>17</v>
      </c>
      <c r="BG32" s="74">
        <v>2</v>
      </c>
      <c r="BH32" s="77">
        <f t="shared" si="52"/>
        <v>2</v>
      </c>
      <c r="BI32" s="6"/>
      <c r="BJ32" s="74">
        <v>1</v>
      </c>
      <c r="BK32" s="75" t="s">
        <v>17</v>
      </c>
      <c r="BL32" s="74">
        <v>3</v>
      </c>
      <c r="BM32" s="77">
        <f t="shared" si="53"/>
        <v>2</v>
      </c>
      <c r="BN32" s="6"/>
      <c r="BO32" s="74">
        <v>0</v>
      </c>
      <c r="BP32" s="75" t="s">
        <v>17</v>
      </c>
      <c r="BQ32" s="74">
        <v>3</v>
      </c>
      <c r="BR32" s="77">
        <f t="shared" si="54"/>
        <v>0</v>
      </c>
      <c r="BS32" s="6"/>
      <c r="BT32" s="74">
        <v>0</v>
      </c>
      <c r="BU32" s="75" t="s">
        <v>17</v>
      </c>
      <c r="BV32" s="74">
        <v>2</v>
      </c>
      <c r="BW32" s="77">
        <f t="shared" si="55"/>
        <v>0</v>
      </c>
      <c r="BX32" s="1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</row>
    <row r="33" spans="1:89" ht="17.399999999999999">
      <c r="A33" s="78"/>
      <c r="B33" s="78"/>
      <c r="C33" s="79"/>
      <c r="D33" s="78"/>
      <c r="E33" s="78"/>
      <c r="F33" s="1"/>
      <c r="G33" s="318">
        <f>SUM(J27:J32)</f>
        <v>14</v>
      </c>
      <c r="H33" s="301"/>
      <c r="I33" s="301"/>
      <c r="J33" s="32"/>
      <c r="K33" s="33"/>
      <c r="L33" s="318">
        <f>SUM(O27:O32)</f>
        <v>31</v>
      </c>
      <c r="M33" s="301"/>
      <c r="N33" s="301"/>
      <c r="O33" s="32"/>
      <c r="P33" s="33"/>
      <c r="Q33" s="318">
        <f>SUM(T27:T32)</f>
        <v>35</v>
      </c>
      <c r="R33" s="301"/>
      <c r="S33" s="301"/>
      <c r="T33" s="32"/>
      <c r="U33" s="33"/>
      <c r="V33" s="318">
        <f>SUM(Y27:Y32)</f>
        <v>28</v>
      </c>
      <c r="W33" s="301"/>
      <c r="X33" s="301"/>
      <c r="Y33" s="32"/>
      <c r="Z33" s="33"/>
      <c r="AA33" s="318">
        <f>SUM(AD27:AD32)</f>
        <v>37</v>
      </c>
      <c r="AB33" s="301"/>
      <c r="AC33" s="301"/>
      <c r="AD33" s="32"/>
      <c r="AE33" s="33"/>
      <c r="AF33" s="318">
        <f>SUM(AI27:AI32)</f>
        <v>33</v>
      </c>
      <c r="AG33" s="301"/>
      <c r="AH33" s="301"/>
      <c r="AI33" s="32"/>
      <c r="AJ33" s="33"/>
      <c r="AK33" s="318">
        <f>SUM(AN27:AN32)</f>
        <v>29</v>
      </c>
      <c r="AL33" s="301"/>
      <c r="AM33" s="301"/>
      <c r="AN33" s="32"/>
      <c r="AO33" s="33"/>
      <c r="AP33" s="318">
        <f>SUM(AS27:AS32)</f>
        <v>0</v>
      </c>
      <c r="AQ33" s="301"/>
      <c r="AR33" s="301"/>
      <c r="AS33" s="34"/>
      <c r="AT33" s="33"/>
      <c r="AU33" s="318">
        <f>SUM(AX27:AX32)</f>
        <v>32</v>
      </c>
      <c r="AV33" s="301"/>
      <c r="AW33" s="301"/>
      <c r="AX33" s="35"/>
      <c r="AY33" s="5"/>
      <c r="AZ33" s="318">
        <f>SUM(BC27:BC32)</f>
        <v>26</v>
      </c>
      <c r="BA33" s="301"/>
      <c r="BB33" s="301"/>
      <c r="BC33" s="35"/>
      <c r="BD33" s="6"/>
      <c r="BE33" s="318">
        <f>SUM(BH27:BH32)</f>
        <v>31</v>
      </c>
      <c r="BF33" s="301"/>
      <c r="BG33" s="301"/>
      <c r="BH33" s="35"/>
      <c r="BI33" s="6"/>
      <c r="BJ33" s="318">
        <f>SUM(BM27:BM32)</f>
        <v>26</v>
      </c>
      <c r="BK33" s="301"/>
      <c r="BL33" s="301"/>
      <c r="BM33" s="35"/>
      <c r="BN33" s="6"/>
      <c r="BO33" s="318">
        <f>SUM(BR27:BR32)</f>
        <v>26</v>
      </c>
      <c r="BP33" s="301"/>
      <c r="BQ33" s="301"/>
      <c r="BR33" s="35"/>
      <c r="BS33" s="6"/>
      <c r="BT33" s="318">
        <f>SUM(BW27:BW32)</f>
        <v>24</v>
      </c>
      <c r="BU33" s="301"/>
      <c r="BV33" s="301"/>
      <c r="BW33" s="35"/>
      <c r="BX33" s="80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</row>
    <row r="34" spans="1:89" ht="17.399999999999999">
      <c r="A34" s="330" t="s">
        <v>36</v>
      </c>
      <c r="B34" s="301"/>
      <c r="C34" s="301"/>
      <c r="D34" s="301"/>
      <c r="E34" s="301"/>
      <c r="F34" s="1"/>
      <c r="G34" s="83"/>
      <c r="H34" s="84"/>
      <c r="I34" s="84"/>
      <c r="J34" s="85"/>
      <c r="K34" s="40"/>
      <c r="L34" s="83"/>
      <c r="M34" s="84"/>
      <c r="N34" s="84"/>
      <c r="O34" s="85"/>
      <c r="P34" s="40"/>
      <c r="Q34" s="83"/>
      <c r="R34" s="84"/>
      <c r="S34" s="84"/>
      <c r="T34" s="85"/>
      <c r="U34" s="40"/>
      <c r="V34" s="83"/>
      <c r="W34" s="84"/>
      <c r="X34" s="84"/>
      <c r="Y34" s="85"/>
      <c r="Z34" s="40"/>
      <c r="AA34" s="83"/>
      <c r="AB34" s="84"/>
      <c r="AC34" s="84"/>
      <c r="AD34" s="85"/>
      <c r="AE34" s="40"/>
      <c r="AF34" s="83"/>
      <c r="AG34" s="84"/>
      <c r="AH34" s="84"/>
      <c r="AI34" s="85"/>
      <c r="AJ34" s="40"/>
      <c r="AK34" s="83"/>
      <c r="AL34" s="84"/>
      <c r="AM34" s="84"/>
      <c r="AN34" s="85"/>
      <c r="AO34" s="40"/>
      <c r="AP34" s="83"/>
      <c r="AQ34" s="84"/>
      <c r="AR34" s="84"/>
      <c r="AS34" s="85"/>
      <c r="AT34" s="34"/>
      <c r="AU34" s="86"/>
      <c r="AV34" s="87"/>
      <c r="AW34" s="87"/>
      <c r="AX34" s="85"/>
      <c r="AY34" s="5"/>
      <c r="AZ34" s="83"/>
      <c r="BA34" s="84"/>
      <c r="BB34" s="84"/>
      <c r="BC34" s="85"/>
      <c r="BD34" s="6"/>
      <c r="BE34" s="83"/>
      <c r="BF34" s="84"/>
      <c r="BG34" s="84"/>
      <c r="BH34" s="88"/>
      <c r="BI34" s="6"/>
      <c r="BJ34" s="83"/>
      <c r="BK34" s="84"/>
      <c r="BL34" s="84"/>
      <c r="BM34" s="88"/>
      <c r="BN34" s="6"/>
      <c r="BO34" s="83"/>
      <c r="BP34" s="84"/>
      <c r="BQ34" s="84"/>
      <c r="BR34" s="88"/>
      <c r="BS34" s="6"/>
      <c r="BT34" s="83"/>
      <c r="BU34" s="84"/>
      <c r="BV34" s="84"/>
      <c r="BW34" s="88"/>
      <c r="BX34" s="1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</row>
    <row r="35" spans="1:89" ht="17.399999999999999">
      <c r="A35" s="12" t="s">
        <v>37</v>
      </c>
      <c r="B35" s="13">
        <v>3</v>
      </c>
      <c r="C35" s="14" t="s">
        <v>17</v>
      </c>
      <c r="D35" s="13">
        <v>1</v>
      </c>
      <c r="E35" s="12" t="s">
        <v>38</v>
      </c>
      <c r="F35" s="1"/>
      <c r="G35" s="13">
        <v>0</v>
      </c>
      <c r="H35" s="14" t="s">
        <v>17</v>
      </c>
      <c r="I35" s="13">
        <v>1</v>
      </c>
      <c r="J35" s="17">
        <f t="shared" ref="J35:J40" si="56">IF(OR(B35="", D35=""), "-",
  IF(OR(G35="", I35=""), 0,
    IF(AND(G35=B35, I35=D35), 10,
      IF(AND(OR(AND(B35&gt;D35, G35&gt;I35), AND(B35&lt;D35, G35&lt;I35), AND(B35=D35, G35=I35)), OR(G35=B35, I35=D35)), 7,
        IF(OR(AND(B35&gt;D35, G35&gt;I35), AND(B35&lt;D35, G35&lt;I35), AND(B35=D35, G35=I35)), 5,
          IF(OR(G35=B35, I35=D35), 2, 0)
        )
      )
    )
  )
)</f>
        <v>2</v>
      </c>
      <c r="K35" s="44"/>
      <c r="L35" s="13">
        <v>2</v>
      </c>
      <c r="M35" s="14" t="s">
        <v>17</v>
      </c>
      <c r="N35" s="13">
        <v>0</v>
      </c>
      <c r="O35" s="17">
        <f t="shared" ref="O35:O40" si="57">IF(OR(B35="", D35=""), "-",
  IF(OR(L35="", N35=""), 0,
    IF(AND(L35=B35, N35=D35), 10,
      IF(AND(OR(AND(B35&gt;D35, L35&gt;N35), AND(B35&lt;D35, L35&lt;N35), AND(B35=D35, L35=N35)), OR(L35=B35, N35=D35)), 7,
        IF(OR(AND(B35&gt;D35, L35&gt;N35), AND(B35&lt;D35, L35&lt;N35), AND(B35=D35, L35=N35)), 5,
          IF(OR(L35=B35, N35=D35), 2, 0)
        )
      )
    )
  )
)</f>
        <v>5</v>
      </c>
      <c r="P35" s="44"/>
      <c r="Q35" s="13">
        <v>2</v>
      </c>
      <c r="R35" s="14" t="s">
        <v>17</v>
      </c>
      <c r="S35" s="13">
        <v>0</v>
      </c>
      <c r="T35" s="17">
        <f t="shared" ref="T35:T40" si="58">IF(OR(B35="", D35=""), "-",
  IF(OR(Q35="", S35=""), 0,
    IF(AND(Q35=B35, S35=D35), 10,
      IF(AND(OR(AND(B35&gt;D35, Q35&gt;S35), AND(B35&lt;D35, Q35&lt;S35), AND(B35=D35, Q35=S35)), OR(Q35=B35, S35=D35)), 7,
        IF(OR(AND(B35&gt;D35, Q35&gt;S35), AND(B35&lt;D35, Q35&lt;S35), AND(B35=D35, Q35=S35)), 5,
          IF(OR(Q35=B35, S35=D35), 2, 0)
        )
      )
    )
  )
)</f>
        <v>5</v>
      </c>
      <c r="U35" s="44"/>
      <c r="V35" s="13">
        <v>1</v>
      </c>
      <c r="W35" s="14" t="s">
        <v>17</v>
      </c>
      <c r="X35" s="13">
        <v>0</v>
      </c>
      <c r="Y35" s="17">
        <f t="shared" ref="Y35:Y40" si="59">IF(OR(B35="", D35=""), "-",
  IF(OR(V35="", X35=""), 0,
    IF(AND(V35=B35, X35=D35), 10,
      IF(AND(OR(AND(B35&gt;D35, V35&gt;X35), AND(B35&lt;D35, V35&lt;X35), AND(B35=D35, V35=X35)), OR(V35=B35, X35=D35)), 7,
        IF(OR(AND(B35&gt;D35, V35&gt;X35), AND(B35&lt;D35, V35&lt;X35), AND(B35=D35, V35=X35)), 5,
          IF(OR(V35=B35, X35=D35), 2, 0)
        )
      )
    )
  )
)</f>
        <v>5</v>
      </c>
      <c r="Z35" s="44"/>
      <c r="AA35" s="13">
        <v>2</v>
      </c>
      <c r="AB35" s="14" t="s">
        <v>17</v>
      </c>
      <c r="AC35" s="13">
        <v>1</v>
      </c>
      <c r="AD35" s="17">
        <f t="shared" ref="AD35:AD40" si="60">IF(OR(B35="", D35=""), "-",
  IF(OR(AA35="", AC35=""), 0,
    IF(AND(AA35=B35, AC35=D35), 10,
      IF(AND(OR(AND(B35&gt;D35, AA35&gt;AC35), AND(B35&lt;D35, AA35&lt;AC35), AND(B35=D35, AA35=AC35)), OR(AA35=B35, AC35=D35)), 7,
        IF(OR(AND(B35&gt;D35, AA35&gt;AC35), AND(B35&lt;D35, AA35&lt;AC35), AND(B35=D35, AA35=AC35)), 5,
          IF(OR(AA35=B35, AC35=D35), 2, 0)
        )
      )
    )
  )
)</f>
        <v>7</v>
      </c>
      <c r="AE35" s="44"/>
      <c r="AF35" s="13">
        <v>2</v>
      </c>
      <c r="AG35" s="14" t="s">
        <v>17</v>
      </c>
      <c r="AH35" s="13">
        <v>1</v>
      </c>
      <c r="AI35" s="17">
        <f t="shared" ref="AI35:AI40" si="61">IF(OR(B35="", D35=""), "-",
  IF(OR(AF35="", AH35=""), 0,
    IF(AND(AF35=B35, AH35=D35), 10,
      IF(AND(OR(AND(B35&gt;D35, AF35&gt;AH35), AND(B35&lt;D35, AF35&lt;AH35), AND(B35=D35, AF35=AH35)), OR(AF35=B35, AH35=D35)), 7,
        IF(OR(AND(B35&gt;D35, AF35&gt;AH35), AND(B35&lt;D35, AF35&lt;AH35), AND(B35=D35, AF35=AH35)), 5,
          IF(OR(AF35=B35, AH35=D35), 2, 0)
        )
      )
    )
  )
)</f>
        <v>7</v>
      </c>
      <c r="AJ35" s="44"/>
      <c r="AK35" s="13">
        <v>2</v>
      </c>
      <c r="AL35" s="14" t="s">
        <v>17</v>
      </c>
      <c r="AM35" s="13">
        <v>0</v>
      </c>
      <c r="AN35" s="17">
        <f t="shared" ref="AN35:AN40" si="62">IF(OR(B35="", D35=""), "-",
  IF(OR(AK35="", AM35=""), 0,
    IF(AND(AK35=B35, AM35=D35), 10,
      IF(AND(OR(AND(B35&gt;D35, AK35&gt;AM35), AND(B35&lt;D35, AK35&lt;AM35), AND(B35=D35, AK35=AM35)), OR(AK35=B35, AM35=D35)), 7,
        IF(OR(AND(B35&gt;D35, AK35&gt;AM35), AND(B35&lt;D35, AK35&lt;AM35), AND(B35=D35, AK35=AM35)), 5,
          IF(OR(AK35=B35, AM35=D35), 2, 0)
        )
      )
    )
  )
)</f>
        <v>5</v>
      </c>
      <c r="AO35" s="44"/>
      <c r="AP35" s="13"/>
      <c r="AQ35" s="14" t="s">
        <v>17</v>
      </c>
      <c r="AR35" s="13"/>
      <c r="AS35" s="17">
        <f t="shared" ref="AS35:AS40" si="63">IF(OR(B35="", D35=""), "-",
  IF(OR(AP35="", AR35=""), 0,
    IF(AND(AP35=B35, AR35=D35), 10,
      IF(AND(OR(AND(B35&gt;D35, AP35&gt;AR35), AND(B35&lt;D35, AP35&lt;AR35), AND(B35=D35, AP35=AR35)), OR(AP35=B35, AR35=D35)), 7,
        IF(OR(AND(B35&gt;D35, AP35&gt;AR35), AND(B35&lt;D35, AP35&lt;AR35), AND(B35=D35, AP35=AR35)), 5,
          IF(OR(AP35=B35, AR35=D35), 2, 0)
        )
      )
    )
  )
)</f>
        <v>0</v>
      </c>
      <c r="AT35" s="44"/>
      <c r="AU35" s="13">
        <v>2</v>
      </c>
      <c r="AV35" s="14" t="s">
        <v>17</v>
      </c>
      <c r="AW35" s="13">
        <v>0</v>
      </c>
      <c r="AX35" s="17">
        <f t="shared" ref="AX35:AX40" si="64">IF(OR(B35="", D35=""), "-",
  IF(OR(AU35="", AW35=""), 0,
    IF(AND(AU35=B35, AW35=D35), 10,
      IF(AND(OR(AND(B35&gt;D35, AU35&gt;AW35), AND(B35&lt;D35, AU35&lt;AW35), AND(B35=D35, AU35=AW35)), OR(AU35=B35, AW35=D35)), 7,
        IF(OR(AND(B35&gt;D35, AU35&gt;AW35), AND(B35&lt;D35, AU35&lt;AW35), AND(B35=D35, AU35=AW35)), 5,
          IF(OR(AU35=B35, AW35=D35), 2, 0)
        )
      )
    )
  )
)</f>
        <v>5</v>
      </c>
      <c r="AY35" s="5"/>
      <c r="AZ35" s="13">
        <v>1</v>
      </c>
      <c r="BA35" s="14" t="s">
        <v>17</v>
      </c>
      <c r="BB35" s="13">
        <v>0</v>
      </c>
      <c r="BC35" s="17">
        <f t="shared" ref="BC35:BC40" si="65">IF(OR(B35="", D35=""), "-",
  IF(OR(AZ35="", BB35=""), 0,
    IF(AND(AZ35=B35, BB35=D35), 10,
      IF(AND(OR(AND(B35&gt;D35, AZ35&gt;BB35), AND(B35&lt;D35, AZ35&lt;BB35), AND(B35=D35, AZ35=BB35)), OR(AZ35=B35, BB35=D35)), 7,
        IF(OR(AND(B35&gt;D35, AZ35&gt;BB35), AND(B35&lt;D35, AZ35&lt;BB35), AND(B35=D35, AZ35=BB35)), 5,
          IF(OR(AZ35=B35, BB35=D35), 2, 0)
        )
      )
    )
  )
)</f>
        <v>5</v>
      </c>
      <c r="BD35" s="6"/>
      <c r="BE35" s="13">
        <v>3</v>
      </c>
      <c r="BF35" s="14" t="s">
        <v>17</v>
      </c>
      <c r="BG35" s="13">
        <v>0</v>
      </c>
      <c r="BH35" s="19">
        <f t="shared" ref="BH35:BH40" si="66">IF(OR(B35="", D35=""), "-",
  IF(OR(BE35="", BG35=""), 0,
    IF(AND(BE35=B35, BG35=D35), 10,
      IF(AND(OR(AND(B35&gt;D35, BE35&gt;BG35), AND(B35&lt;D35, BE35&lt;BG35), AND(B35=D35, BE35=BG35)), OR(BE35=B35, BG35=D35)), 7,
        IF(OR(AND(B35&gt;D35, BE35&gt;BG35), AND(B35&lt;D35, BE35&lt;BG35), AND(B35=D35, BE35=BG35)), 5,
          IF(OR(BE35=B35, BG35=D35), 2, 0)
        )
      )
    )
  )
)</f>
        <v>7</v>
      </c>
      <c r="BI35" s="6"/>
      <c r="BJ35" s="13">
        <v>2</v>
      </c>
      <c r="BK35" s="14" t="s">
        <v>17</v>
      </c>
      <c r="BL35" s="13">
        <v>0</v>
      </c>
      <c r="BM35" s="19">
        <f t="shared" ref="BM35:BM40" si="67">IF(OR(B35="", D35=""), "-",
  IF(OR(BJ35="", BL35=""), 0,
    IF(AND(BJ35=B35, BL35=D35), 10,
      IF(AND(OR(AND(B35&gt;D35, BJ35&gt;BL35), AND(B35&lt;D35, BJ35&lt;BL35), AND(B35=D35, BJ35=BL35)), OR(BJ35=B35, BL35=D35)), 7,
        IF(OR(AND(B35&gt;D35, BJ35&gt;BL35), AND(B35&lt;D35, BJ35&lt;BL35), AND(B35=D35, BJ35=BL35)), 5,
          IF(OR(BJ35=B35, BL35=D35), 2, 0)
        )
      )
    )
  )
)</f>
        <v>5</v>
      </c>
      <c r="BN35" s="6"/>
      <c r="BO35" s="13">
        <v>3</v>
      </c>
      <c r="BP35" s="14" t="s">
        <v>17</v>
      </c>
      <c r="BQ35" s="13">
        <v>0</v>
      </c>
      <c r="BR35" s="19">
        <f t="shared" ref="BR35:BR40" si="68">IF(OR(B35="", D35=""), "-",
  IF(OR(BO35="", BQ35=""), 0,
    IF(AND(BO35=B35, BQ35=D35), 10,
      IF(AND(OR(AND(B35&gt;D35, BO35&gt;BQ35), AND(B35&lt;D35, BO35&lt;BQ35), AND(B35=D35, BO35=BQ35)), OR(BO35=B35, BQ35=D35)), 7,
        IF(OR(AND(B35&gt;D35, BO35&gt;BQ35), AND(B35&lt;D35, BO35&lt;BQ35), AND(B35=D35, BO35=BQ35)), 5,
          IF(OR(BO35=B35, BQ35=D35), 2, 0)
        )
      )
    )
  )
)</f>
        <v>7</v>
      </c>
      <c r="BS35" s="6"/>
      <c r="BT35" s="13">
        <v>1</v>
      </c>
      <c r="BU35" s="14" t="s">
        <v>17</v>
      </c>
      <c r="BV35" s="13">
        <v>1</v>
      </c>
      <c r="BW35" s="19">
        <f t="shared" ref="BW35:BW40" si="69">IF(OR(B35="", D35=""), "-",
  IF(OR(BT35="", BV35=""), 0,
    IF(AND(BT35=B35, BV35=D35), 10,
      IF(AND(OR(AND(B35&gt;D35, BT35&gt;BV35), AND(B35&lt;D35, BT35&lt;BV35), AND(B35=D35, BT35=BV35)), OR(BT35=B35, BV35=D35)), 7,
        IF(OR(AND(B35&gt;D35, BT35&gt;BV35), AND(B35&lt;D35, BT35&lt;BV35), AND(B35=D35, BT35=BV35)), 5,
          IF(OR(BT35=B35, BV35=D35), 2, 0)
        )
      )
    )
  )
)</f>
        <v>2</v>
      </c>
      <c r="BX35" s="1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</row>
    <row r="36" spans="1:89" ht="17.399999999999999">
      <c r="A36" s="89" t="s">
        <v>39</v>
      </c>
      <c r="B36" s="90">
        <v>1</v>
      </c>
      <c r="C36" s="91" t="s">
        <v>17</v>
      </c>
      <c r="D36" s="90">
        <v>1</v>
      </c>
      <c r="E36" s="89" t="s">
        <v>40</v>
      </c>
      <c r="F36" s="1"/>
      <c r="G36" s="90">
        <v>2</v>
      </c>
      <c r="H36" s="91" t="s">
        <v>17</v>
      </c>
      <c r="I36" s="90">
        <v>0</v>
      </c>
      <c r="J36" s="92">
        <f t="shared" si="56"/>
        <v>0</v>
      </c>
      <c r="K36" s="44"/>
      <c r="L36" s="90">
        <v>1</v>
      </c>
      <c r="M36" s="91" t="s">
        <v>17</v>
      </c>
      <c r="N36" s="90">
        <v>2</v>
      </c>
      <c r="O36" s="92">
        <f t="shared" si="57"/>
        <v>2</v>
      </c>
      <c r="P36" s="44"/>
      <c r="Q36" s="90">
        <v>1</v>
      </c>
      <c r="R36" s="91" t="s">
        <v>17</v>
      </c>
      <c r="S36" s="90">
        <v>2</v>
      </c>
      <c r="T36" s="92">
        <f t="shared" si="58"/>
        <v>2</v>
      </c>
      <c r="U36" s="44"/>
      <c r="V36" s="90">
        <v>1</v>
      </c>
      <c r="W36" s="91" t="s">
        <v>17</v>
      </c>
      <c r="X36" s="90">
        <v>3</v>
      </c>
      <c r="Y36" s="92">
        <f t="shared" si="59"/>
        <v>2</v>
      </c>
      <c r="Z36" s="44"/>
      <c r="AA36" s="90">
        <v>2</v>
      </c>
      <c r="AB36" s="91" t="s">
        <v>17</v>
      </c>
      <c r="AC36" s="90">
        <v>4</v>
      </c>
      <c r="AD36" s="92">
        <f t="shared" si="60"/>
        <v>0</v>
      </c>
      <c r="AE36" s="44"/>
      <c r="AF36" s="90">
        <v>2</v>
      </c>
      <c r="AG36" s="91" t="s">
        <v>17</v>
      </c>
      <c r="AH36" s="90">
        <v>4</v>
      </c>
      <c r="AI36" s="92">
        <f t="shared" si="61"/>
        <v>0</v>
      </c>
      <c r="AJ36" s="44"/>
      <c r="AK36" s="90">
        <v>1</v>
      </c>
      <c r="AL36" s="91" t="s">
        <v>17</v>
      </c>
      <c r="AM36" s="90">
        <v>2</v>
      </c>
      <c r="AN36" s="92">
        <f t="shared" si="62"/>
        <v>2</v>
      </c>
      <c r="AO36" s="44"/>
      <c r="AP36" s="90"/>
      <c r="AQ36" s="91" t="s">
        <v>17</v>
      </c>
      <c r="AR36" s="90"/>
      <c r="AS36" s="92">
        <f t="shared" si="63"/>
        <v>0</v>
      </c>
      <c r="AT36" s="44"/>
      <c r="AU36" s="90">
        <v>0</v>
      </c>
      <c r="AV36" s="91" t="s">
        <v>17</v>
      </c>
      <c r="AW36" s="90">
        <v>1</v>
      </c>
      <c r="AX36" s="92">
        <f t="shared" si="64"/>
        <v>2</v>
      </c>
      <c r="AY36" s="5"/>
      <c r="AZ36" s="90">
        <v>0</v>
      </c>
      <c r="BA36" s="91" t="s">
        <v>17</v>
      </c>
      <c r="BB36" s="90">
        <v>2</v>
      </c>
      <c r="BC36" s="92">
        <f t="shared" si="65"/>
        <v>0</v>
      </c>
      <c r="BD36" s="6"/>
      <c r="BE36" s="90">
        <v>0</v>
      </c>
      <c r="BF36" s="91" t="s">
        <v>17</v>
      </c>
      <c r="BG36" s="90">
        <v>3</v>
      </c>
      <c r="BH36" s="93">
        <f t="shared" si="66"/>
        <v>0</v>
      </c>
      <c r="BI36" s="6"/>
      <c r="BJ36" s="90">
        <v>1</v>
      </c>
      <c r="BK36" s="91" t="s">
        <v>17</v>
      </c>
      <c r="BL36" s="90">
        <v>1</v>
      </c>
      <c r="BM36" s="93">
        <f t="shared" si="67"/>
        <v>10</v>
      </c>
      <c r="BN36" s="6"/>
      <c r="BO36" s="90">
        <v>1</v>
      </c>
      <c r="BP36" s="91" t="s">
        <v>17</v>
      </c>
      <c r="BQ36" s="90">
        <v>2</v>
      </c>
      <c r="BR36" s="93">
        <f t="shared" si="68"/>
        <v>2</v>
      </c>
      <c r="BS36" s="6"/>
      <c r="BT36" s="90">
        <v>0</v>
      </c>
      <c r="BU36" s="91" t="s">
        <v>17</v>
      </c>
      <c r="BV36" s="90">
        <v>1</v>
      </c>
      <c r="BW36" s="93">
        <f t="shared" si="69"/>
        <v>2</v>
      </c>
      <c r="BX36" s="1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</row>
    <row r="37" spans="1:89" ht="17.399999999999999">
      <c r="A37" s="12" t="s">
        <v>40</v>
      </c>
      <c r="B37" s="13">
        <v>2</v>
      </c>
      <c r="C37" s="14" t="s">
        <v>17</v>
      </c>
      <c r="D37" s="13">
        <v>1</v>
      </c>
      <c r="E37" s="12" t="s">
        <v>38</v>
      </c>
      <c r="F37" s="1"/>
      <c r="G37" s="13">
        <v>1</v>
      </c>
      <c r="H37" s="14" t="s">
        <v>17</v>
      </c>
      <c r="I37" s="13">
        <v>2</v>
      </c>
      <c r="J37" s="17">
        <f t="shared" si="56"/>
        <v>0</v>
      </c>
      <c r="K37" s="44"/>
      <c r="L37" s="13">
        <v>3</v>
      </c>
      <c r="M37" s="14" t="s">
        <v>17</v>
      </c>
      <c r="N37" s="13">
        <v>0</v>
      </c>
      <c r="O37" s="17">
        <f t="shared" si="57"/>
        <v>5</v>
      </c>
      <c r="P37" s="44"/>
      <c r="Q37" s="13">
        <v>3</v>
      </c>
      <c r="R37" s="14" t="s">
        <v>17</v>
      </c>
      <c r="S37" s="13">
        <v>0</v>
      </c>
      <c r="T37" s="17">
        <f t="shared" si="58"/>
        <v>5</v>
      </c>
      <c r="U37" s="44"/>
      <c r="V37" s="13">
        <v>1</v>
      </c>
      <c r="W37" s="14" t="s">
        <v>17</v>
      </c>
      <c r="X37" s="13">
        <v>0</v>
      </c>
      <c r="Y37" s="17">
        <f t="shared" si="59"/>
        <v>5</v>
      </c>
      <c r="Z37" s="44"/>
      <c r="AA37" s="13">
        <v>2</v>
      </c>
      <c r="AB37" s="14" t="s">
        <v>17</v>
      </c>
      <c r="AC37" s="13">
        <v>0</v>
      </c>
      <c r="AD37" s="17">
        <f t="shared" si="60"/>
        <v>7</v>
      </c>
      <c r="AE37" s="44"/>
      <c r="AF37" s="13">
        <v>3</v>
      </c>
      <c r="AG37" s="14" t="s">
        <v>17</v>
      </c>
      <c r="AH37" s="13">
        <v>0</v>
      </c>
      <c r="AI37" s="17">
        <f t="shared" si="61"/>
        <v>5</v>
      </c>
      <c r="AJ37" s="44"/>
      <c r="AK37" s="13">
        <v>3</v>
      </c>
      <c r="AL37" s="14" t="s">
        <v>17</v>
      </c>
      <c r="AM37" s="13">
        <v>0</v>
      </c>
      <c r="AN37" s="17">
        <f t="shared" si="62"/>
        <v>5</v>
      </c>
      <c r="AO37" s="44"/>
      <c r="AP37" s="13"/>
      <c r="AQ37" s="14" t="s">
        <v>17</v>
      </c>
      <c r="AR37" s="13"/>
      <c r="AS37" s="17">
        <f t="shared" si="63"/>
        <v>0</v>
      </c>
      <c r="AT37" s="44"/>
      <c r="AU37" s="13">
        <v>3</v>
      </c>
      <c r="AV37" s="14" t="s">
        <v>17</v>
      </c>
      <c r="AW37" s="13">
        <v>0</v>
      </c>
      <c r="AX37" s="17">
        <f t="shared" si="64"/>
        <v>5</v>
      </c>
      <c r="AY37" s="5"/>
      <c r="AZ37" s="13">
        <v>3</v>
      </c>
      <c r="BA37" s="14" t="s">
        <v>17</v>
      </c>
      <c r="BB37" s="13">
        <v>0</v>
      </c>
      <c r="BC37" s="17">
        <f t="shared" si="65"/>
        <v>5</v>
      </c>
      <c r="BD37" s="6"/>
      <c r="BE37" s="13">
        <v>2</v>
      </c>
      <c r="BF37" s="14" t="s">
        <v>17</v>
      </c>
      <c r="BG37" s="13">
        <v>0</v>
      </c>
      <c r="BH37" s="19">
        <f t="shared" si="66"/>
        <v>7</v>
      </c>
      <c r="BI37" s="6"/>
      <c r="BJ37" s="13">
        <v>3</v>
      </c>
      <c r="BK37" s="14" t="s">
        <v>17</v>
      </c>
      <c r="BL37" s="13">
        <v>1</v>
      </c>
      <c r="BM37" s="19">
        <f t="shared" si="67"/>
        <v>7</v>
      </c>
      <c r="BN37" s="6"/>
      <c r="BO37" s="13">
        <v>4</v>
      </c>
      <c r="BP37" s="14" t="s">
        <v>17</v>
      </c>
      <c r="BQ37" s="13">
        <v>0</v>
      </c>
      <c r="BR37" s="19">
        <f t="shared" si="68"/>
        <v>5</v>
      </c>
      <c r="BS37" s="6"/>
      <c r="BT37" s="13">
        <v>3</v>
      </c>
      <c r="BU37" s="14" t="s">
        <v>17</v>
      </c>
      <c r="BV37" s="13">
        <v>1</v>
      </c>
      <c r="BW37" s="19">
        <f t="shared" si="69"/>
        <v>7</v>
      </c>
      <c r="BX37" s="1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</row>
    <row r="38" spans="1:89" ht="17.399999999999999">
      <c r="A38" s="89" t="s">
        <v>37</v>
      </c>
      <c r="B38" s="90">
        <v>0</v>
      </c>
      <c r="C38" s="91" t="s">
        <v>17</v>
      </c>
      <c r="D38" s="90">
        <v>0</v>
      </c>
      <c r="E38" s="89" t="s">
        <v>39</v>
      </c>
      <c r="F38" s="1"/>
      <c r="G38" s="90">
        <v>3</v>
      </c>
      <c r="H38" s="91" t="s">
        <v>17</v>
      </c>
      <c r="I38" s="90">
        <v>1</v>
      </c>
      <c r="J38" s="92">
        <f t="shared" si="56"/>
        <v>0</v>
      </c>
      <c r="K38" s="44"/>
      <c r="L38" s="90">
        <v>2</v>
      </c>
      <c r="M38" s="91" t="s">
        <v>17</v>
      </c>
      <c r="N38" s="90">
        <v>1</v>
      </c>
      <c r="O38" s="92">
        <f t="shared" si="57"/>
        <v>0</v>
      </c>
      <c r="P38" s="44"/>
      <c r="Q38" s="90">
        <v>1</v>
      </c>
      <c r="R38" s="91" t="s">
        <v>17</v>
      </c>
      <c r="S38" s="90">
        <v>1</v>
      </c>
      <c r="T38" s="92">
        <f t="shared" si="58"/>
        <v>5</v>
      </c>
      <c r="U38" s="44"/>
      <c r="V38" s="90">
        <v>2</v>
      </c>
      <c r="W38" s="91" t="s">
        <v>17</v>
      </c>
      <c r="X38" s="90">
        <v>1</v>
      </c>
      <c r="Y38" s="92">
        <f t="shared" si="59"/>
        <v>0</v>
      </c>
      <c r="Z38" s="44"/>
      <c r="AA38" s="90">
        <v>2</v>
      </c>
      <c r="AB38" s="91" t="s">
        <v>17</v>
      </c>
      <c r="AC38" s="90">
        <v>0</v>
      </c>
      <c r="AD38" s="92">
        <f t="shared" si="60"/>
        <v>2</v>
      </c>
      <c r="AE38" s="44"/>
      <c r="AF38" s="90">
        <v>2</v>
      </c>
      <c r="AG38" s="91" t="s">
        <v>17</v>
      </c>
      <c r="AH38" s="90">
        <v>1</v>
      </c>
      <c r="AI38" s="92">
        <f t="shared" si="61"/>
        <v>0</v>
      </c>
      <c r="AJ38" s="44"/>
      <c r="AK38" s="90">
        <v>2</v>
      </c>
      <c r="AL38" s="91" t="s">
        <v>17</v>
      </c>
      <c r="AM38" s="90">
        <v>1</v>
      </c>
      <c r="AN38" s="92">
        <f t="shared" si="62"/>
        <v>0</v>
      </c>
      <c r="AO38" s="44"/>
      <c r="AP38" s="90"/>
      <c r="AQ38" s="91" t="s">
        <v>17</v>
      </c>
      <c r="AR38" s="90"/>
      <c r="AS38" s="92">
        <f t="shared" si="63"/>
        <v>0</v>
      </c>
      <c r="AT38" s="44"/>
      <c r="AU38" s="90">
        <v>1</v>
      </c>
      <c r="AV38" s="91" t="s">
        <v>17</v>
      </c>
      <c r="AW38" s="90">
        <v>0</v>
      </c>
      <c r="AX38" s="92">
        <f t="shared" si="64"/>
        <v>2</v>
      </c>
      <c r="AY38" s="5"/>
      <c r="AZ38" s="90">
        <v>1</v>
      </c>
      <c r="BA38" s="91" t="s">
        <v>17</v>
      </c>
      <c r="BB38" s="90">
        <v>0</v>
      </c>
      <c r="BC38" s="92">
        <f t="shared" si="65"/>
        <v>2</v>
      </c>
      <c r="BD38" s="6"/>
      <c r="BE38" s="90">
        <v>2</v>
      </c>
      <c r="BF38" s="91" t="s">
        <v>17</v>
      </c>
      <c r="BG38" s="90">
        <v>0</v>
      </c>
      <c r="BH38" s="93">
        <f t="shared" si="66"/>
        <v>2</v>
      </c>
      <c r="BI38" s="6"/>
      <c r="BJ38" s="90">
        <v>2</v>
      </c>
      <c r="BK38" s="91" t="s">
        <v>17</v>
      </c>
      <c r="BL38" s="90">
        <v>0</v>
      </c>
      <c r="BM38" s="93">
        <f t="shared" si="67"/>
        <v>2</v>
      </c>
      <c r="BN38" s="6"/>
      <c r="BO38" s="90">
        <v>1</v>
      </c>
      <c r="BP38" s="91" t="s">
        <v>17</v>
      </c>
      <c r="BQ38" s="90">
        <v>1</v>
      </c>
      <c r="BR38" s="93">
        <f t="shared" si="68"/>
        <v>5</v>
      </c>
      <c r="BS38" s="6"/>
      <c r="BT38" s="90">
        <v>2</v>
      </c>
      <c r="BU38" s="91" t="s">
        <v>17</v>
      </c>
      <c r="BV38" s="90">
        <v>0</v>
      </c>
      <c r="BW38" s="93">
        <f t="shared" si="69"/>
        <v>2</v>
      </c>
      <c r="BX38" s="1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</row>
    <row r="39" spans="1:89" ht="17.399999999999999">
      <c r="A39" s="12" t="s">
        <v>40</v>
      </c>
      <c r="B39" s="13">
        <v>2</v>
      </c>
      <c r="C39" s="14" t="s">
        <v>17</v>
      </c>
      <c r="D39" s="13">
        <v>0</v>
      </c>
      <c r="E39" s="12" t="s">
        <v>37</v>
      </c>
      <c r="F39" s="1"/>
      <c r="G39" s="13">
        <v>0</v>
      </c>
      <c r="H39" s="14" t="s">
        <v>17</v>
      </c>
      <c r="I39" s="13">
        <v>0</v>
      </c>
      <c r="J39" s="17">
        <f t="shared" si="56"/>
        <v>2</v>
      </c>
      <c r="K39" s="44"/>
      <c r="L39" s="13">
        <v>2</v>
      </c>
      <c r="M39" s="14" t="s">
        <v>17</v>
      </c>
      <c r="N39" s="13">
        <v>1</v>
      </c>
      <c r="O39" s="17">
        <f t="shared" si="57"/>
        <v>7</v>
      </c>
      <c r="P39" s="44"/>
      <c r="Q39" s="13">
        <v>1</v>
      </c>
      <c r="R39" s="14" t="s">
        <v>17</v>
      </c>
      <c r="S39" s="13">
        <v>0</v>
      </c>
      <c r="T39" s="17">
        <f t="shared" si="58"/>
        <v>7</v>
      </c>
      <c r="U39" s="44"/>
      <c r="V39" s="13">
        <v>1</v>
      </c>
      <c r="W39" s="14" t="s">
        <v>17</v>
      </c>
      <c r="X39" s="13">
        <v>2</v>
      </c>
      <c r="Y39" s="17">
        <f t="shared" si="59"/>
        <v>0</v>
      </c>
      <c r="Z39" s="44"/>
      <c r="AA39" s="13">
        <v>1</v>
      </c>
      <c r="AB39" s="14" t="s">
        <v>17</v>
      </c>
      <c r="AC39" s="13">
        <v>2</v>
      </c>
      <c r="AD39" s="17">
        <f t="shared" si="60"/>
        <v>0</v>
      </c>
      <c r="AE39" s="44"/>
      <c r="AF39" s="13">
        <v>1</v>
      </c>
      <c r="AG39" s="14" t="s">
        <v>17</v>
      </c>
      <c r="AH39" s="13">
        <v>2</v>
      </c>
      <c r="AI39" s="17">
        <f t="shared" si="61"/>
        <v>0</v>
      </c>
      <c r="AJ39" s="44"/>
      <c r="AK39" s="13">
        <v>2</v>
      </c>
      <c r="AL39" s="14" t="s">
        <v>17</v>
      </c>
      <c r="AM39" s="13">
        <v>1</v>
      </c>
      <c r="AN39" s="17">
        <f t="shared" si="62"/>
        <v>7</v>
      </c>
      <c r="AO39" s="44"/>
      <c r="AP39" s="13"/>
      <c r="AQ39" s="14" t="s">
        <v>17</v>
      </c>
      <c r="AR39" s="13"/>
      <c r="AS39" s="17">
        <f t="shared" si="63"/>
        <v>0</v>
      </c>
      <c r="AT39" s="44"/>
      <c r="AU39" s="13">
        <v>2</v>
      </c>
      <c r="AV39" s="14" t="s">
        <v>17</v>
      </c>
      <c r="AW39" s="13">
        <v>0</v>
      </c>
      <c r="AX39" s="17">
        <f t="shared" si="64"/>
        <v>10</v>
      </c>
      <c r="AY39" s="5"/>
      <c r="AZ39" s="13">
        <v>0</v>
      </c>
      <c r="BA39" s="14" t="s">
        <v>17</v>
      </c>
      <c r="BB39" s="13">
        <v>0</v>
      </c>
      <c r="BC39" s="17">
        <f t="shared" si="65"/>
        <v>2</v>
      </c>
      <c r="BD39" s="6"/>
      <c r="BE39" s="13">
        <v>3</v>
      </c>
      <c r="BF39" s="14" t="s">
        <v>17</v>
      </c>
      <c r="BG39" s="13">
        <v>1</v>
      </c>
      <c r="BH39" s="19">
        <f t="shared" si="66"/>
        <v>5</v>
      </c>
      <c r="BI39" s="6"/>
      <c r="BJ39" s="13">
        <v>2</v>
      </c>
      <c r="BK39" s="14" t="s">
        <v>17</v>
      </c>
      <c r="BL39" s="13">
        <v>1</v>
      </c>
      <c r="BM39" s="19">
        <f t="shared" si="67"/>
        <v>7</v>
      </c>
      <c r="BN39" s="6"/>
      <c r="BO39" s="13">
        <v>2</v>
      </c>
      <c r="BP39" s="14" t="s">
        <v>17</v>
      </c>
      <c r="BQ39" s="13">
        <v>0</v>
      </c>
      <c r="BR39" s="19">
        <f t="shared" si="68"/>
        <v>10</v>
      </c>
      <c r="BS39" s="6"/>
      <c r="BT39" s="13">
        <v>3</v>
      </c>
      <c r="BU39" s="14" t="s">
        <v>17</v>
      </c>
      <c r="BV39" s="13">
        <v>0</v>
      </c>
      <c r="BW39" s="19">
        <f t="shared" si="69"/>
        <v>7</v>
      </c>
      <c r="BX39" s="1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</row>
    <row r="40" spans="1:89" ht="17.399999999999999">
      <c r="A40" s="89" t="s">
        <v>38</v>
      </c>
      <c r="B40" s="90">
        <v>0</v>
      </c>
      <c r="C40" s="91" t="s">
        <v>17</v>
      </c>
      <c r="D40" s="90">
        <v>4</v>
      </c>
      <c r="E40" s="89" t="s">
        <v>39</v>
      </c>
      <c r="F40" s="1"/>
      <c r="G40" s="90">
        <v>2</v>
      </c>
      <c r="H40" s="91" t="s">
        <v>17</v>
      </c>
      <c r="I40" s="90">
        <v>3</v>
      </c>
      <c r="J40" s="92">
        <f t="shared" si="56"/>
        <v>5</v>
      </c>
      <c r="K40" s="44"/>
      <c r="L40" s="90">
        <v>1</v>
      </c>
      <c r="M40" s="91" t="s">
        <v>17</v>
      </c>
      <c r="N40" s="90">
        <v>2</v>
      </c>
      <c r="O40" s="92">
        <f t="shared" si="57"/>
        <v>5</v>
      </c>
      <c r="P40" s="44"/>
      <c r="Q40" s="90">
        <v>1</v>
      </c>
      <c r="R40" s="91" t="s">
        <v>17</v>
      </c>
      <c r="S40" s="90">
        <v>2</v>
      </c>
      <c r="T40" s="92">
        <f t="shared" si="58"/>
        <v>5</v>
      </c>
      <c r="U40" s="44"/>
      <c r="V40" s="90">
        <v>1</v>
      </c>
      <c r="W40" s="91" t="s">
        <v>17</v>
      </c>
      <c r="X40" s="90">
        <v>1</v>
      </c>
      <c r="Y40" s="92">
        <f t="shared" si="59"/>
        <v>0</v>
      </c>
      <c r="Z40" s="44"/>
      <c r="AA40" s="90">
        <v>2</v>
      </c>
      <c r="AB40" s="91" t="s">
        <v>17</v>
      </c>
      <c r="AC40" s="90">
        <v>2</v>
      </c>
      <c r="AD40" s="92">
        <f t="shared" si="60"/>
        <v>0</v>
      </c>
      <c r="AE40" s="44"/>
      <c r="AF40" s="90">
        <v>3</v>
      </c>
      <c r="AG40" s="91" t="s">
        <v>17</v>
      </c>
      <c r="AH40" s="90">
        <v>1</v>
      </c>
      <c r="AI40" s="92">
        <f t="shared" si="61"/>
        <v>0</v>
      </c>
      <c r="AJ40" s="44"/>
      <c r="AK40" s="90">
        <v>1</v>
      </c>
      <c r="AL40" s="91" t="s">
        <v>17</v>
      </c>
      <c r="AM40" s="90">
        <v>1</v>
      </c>
      <c r="AN40" s="92">
        <f t="shared" si="62"/>
        <v>0</v>
      </c>
      <c r="AO40" s="44"/>
      <c r="AP40" s="90"/>
      <c r="AQ40" s="91" t="s">
        <v>17</v>
      </c>
      <c r="AR40" s="90"/>
      <c r="AS40" s="92">
        <f t="shared" si="63"/>
        <v>0</v>
      </c>
      <c r="AT40" s="44"/>
      <c r="AU40" s="90">
        <v>0</v>
      </c>
      <c r="AV40" s="91" t="s">
        <v>17</v>
      </c>
      <c r="AW40" s="90">
        <v>1</v>
      </c>
      <c r="AX40" s="92">
        <f t="shared" si="64"/>
        <v>7</v>
      </c>
      <c r="AY40" s="5"/>
      <c r="AZ40" s="90">
        <v>0</v>
      </c>
      <c r="BA40" s="91" t="s">
        <v>17</v>
      </c>
      <c r="BB40" s="90">
        <v>0</v>
      </c>
      <c r="BC40" s="92">
        <f t="shared" si="65"/>
        <v>2</v>
      </c>
      <c r="BD40" s="6"/>
      <c r="BE40" s="90">
        <v>2</v>
      </c>
      <c r="BF40" s="91" t="s">
        <v>17</v>
      </c>
      <c r="BG40" s="90">
        <v>2</v>
      </c>
      <c r="BH40" s="93">
        <f t="shared" si="66"/>
        <v>0</v>
      </c>
      <c r="BI40" s="6"/>
      <c r="BJ40" s="90">
        <v>0</v>
      </c>
      <c r="BK40" s="91" t="s">
        <v>17</v>
      </c>
      <c r="BL40" s="90">
        <v>0</v>
      </c>
      <c r="BM40" s="93">
        <f t="shared" si="67"/>
        <v>2</v>
      </c>
      <c r="BN40" s="6"/>
      <c r="BO40" s="90">
        <v>1</v>
      </c>
      <c r="BP40" s="91" t="s">
        <v>17</v>
      </c>
      <c r="BQ40" s="90">
        <v>2</v>
      </c>
      <c r="BR40" s="93">
        <f t="shared" si="68"/>
        <v>5</v>
      </c>
      <c r="BS40" s="6"/>
      <c r="BT40" s="90">
        <v>0</v>
      </c>
      <c r="BU40" s="91" t="s">
        <v>17</v>
      </c>
      <c r="BV40" s="90">
        <v>1</v>
      </c>
      <c r="BW40" s="93">
        <f t="shared" si="69"/>
        <v>7</v>
      </c>
      <c r="BX40" s="1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</row>
    <row r="41" spans="1:89" ht="17.399999999999999">
      <c r="A41" s="94"/>
      <c r="B41" s="94"/>
      <c r="C41" s="95"/>
      <c r="D41" s="94"/>
      <c r="E41" s="94"/>
      <c r="F41" s="1"/>
      <c r="G41" s="319">
        <f>SUM(J35:J40)</f>
        <v>9</v>
      </c>
      <c r="H41" s="301"/>
      <c r="I41" s="301"/>
      <c r="J41" s="32"/>
      <c r="K41" s="33"/>
      <c r="L41" s="319">
        <f>SUM(O35:O40)</f>
        <v>24</v>
      </c>
      <c r="M41" s="301"/>
      <c r="N41" s="301"/>
      <c r="O41" s="32"/>
      <c r="P41" s="33"/>
      <c r="Q41" s="319">
        <f>SUM(T35:T40)</f>
        <v>29</v>
      </c>
      <c r="R41" s="301"/>
      <c r="S41" s="301"/>
      <c r="T41" s="32"/>
      <c r="U41" s="33"/>
      <c r="V41" s="319">
        <f>SUM(Y35:Y40)</f>
        <v>12</v>
      </c>
      <c r="W41" s="301"/>
      <c r="X41" s="301"/>
      <c r="Y41" s="32"/>
      <c r="Z41" s="33"/>
      <c r="AA41" s="319">
        <f>SUM(AD35:AD40)</f>
        <v>16</v>
      </c>
      <c r="AB41" s="301"/>
      <c r="AC41" s="301"/>
      <c r="AD41" s="32"/>
      <c r="AE41" s="33"/>
      <c r="AF41" s="319">
        <f>SUM(AI35:AI40)</f>
        <v>12</v>
      </c>
      <c r="AG41" s="301"/>
      <c r="AH41" s="301"/>
      <c r="AI41" s="32"/>
      <c r="AJ41" s="33"/>
      <c r="AK41" s="319">
        <f>SUM(AN35:AN40)</f>
        <v>19</v>
      </c>
      <c r="AL41" s="301"/>
      <c r="AM41" s="301"/>
      <c r="AN41" s="32"/>
      <c r="AO41" s="33"/>
      <c r="AP41" s="319">
        <f>SUM(AS35:AS40)</f>
        <v>0</v>
      </c>
      <c r="AQ41" s="301"/>
      <c r="AR41" s="301"/>
      <c r="AS41" s="34"/>
      <c r="AT41" s="33"/>
      <c r="AU41" s="319">
        <f>SUM(AX35:AX40)</f>
        <v>31</v>
      </c>
      <c r="AV41" s="301"/>
      <c r="AW41" s="301"/>
      <c r="AX41" s="35"/>
      <c r="AY41" s="5"/>
      <c r="AZ41" s="319">
        <f>SUM(BC35:BC40)</f>
        <v>16</v>
      </c>
      <c r="BA41" s="301"/>
      <c r="BB41" s="301"/>
      <c r="BC41" s="35"/>
      <c r="BD41" s="6"/>
      <c r="BE41" s="319">
        <f>SUM(BH35:BH40)</f>
        <v>21</v>
      </c>
      <c r="BF41" s="301"/>
      <c r="BG41" s="301"/>
      <c r="BH41" s="35"/>
      <c r="BI41" s="6"/>
      <c r="BJ41" s="319">
        <f>SUM(BM35:BM40)</f>
        <v>33</v>
      </c>
      <c r="BK41" s="301"/>
      <c r="BL41" s="301"/>
      <c r="BM41" s="35"/>
      <c r="BN41" s="6"/>
      <c r="BO41" s="319">
        <f>SUM(BR35:BR40)</f>
        <v>34</v>
      </c>
      <c r="BP41" s="301"/>
      <c r="BQ41" s="301"/>
      <c r="BR41" s="35"/>
      <c r="BS41" s="6"/>
      <c r="BT41" s="319">
        <f>SUM(BW35:BW40)</f>
        <v>27</v>
      </c>
      <c r="BU41" s="301"/>
      <c r="BV41" s="301"/>
      <c r="BW41" s="35"/>
      <c r="BX41" s="1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</row>
    <row r="42" spans="1:89" ht="17.399999999999999">
      <c r="A42" s="322" t="s">
        <v>41</v>
      </c>
      <c r="B42" s="301"/>
      <c r="C42" s="301"/>
      <c r="D42" s="301"/>
      <c r="E42" s="301"/>
      <c r="F42" s="1"/>
      <c r="G42" s="97"/>
      <c r="H42" s="98"/>
      <c r="I42" s="98"/>
      <c r="J42" s="99"/>
      <c r="K42" s="40"/>
      <c r="L42" s="97"/>
      <c r="M42" s="98"/>
      <c r="N42" s="98"/>
      <c r="O42" s="99"/>
      <c r="P42" s="40"/>
      <c r="Q42" s="97"/>
      <c r="R42" s="98"/>
      <c r="S42" s="98"/>
      <c r="T42" s="99"/>
      <c r="U42" s="40"/>
      <c r="V42" s="97"/>
      <c r="W42" s="98"/>
      <c r="X42" s="98"/>
      <c r="Y42" s="99"/>
      <c r="Z42" s="40"/>
      <c r="AA42" s="97"/>
      <c r="AB42" s="98"/>
      <c r="AC42" s="98"/>
      <c r="AD42" s="99"/>
      <c r="AE42" s="40"/>
      <c r="AF42" s="97"/>
      <c r="AG42" s="98"/>
      <c r="AH42" s="98"/>
      <c r="AI42" s="99"/>
      <c r="AJ42" s="40"/>
      <c r="AK42" s="97"/>
      <c r="AL42" s="98"/>
      <c r="AM42" s="98"/>
      <c r="AN42" s="99"/>
      <c r="AO42" s="40"/>
      <c r="AP42" s="97"/>
      <c r="AQ42" s="98"/>
      <c r="AR42" s="98"/>
      <c r="AS42" s="99"/>
      <c r="AT42" s="34"/>
      <c r="AU42" s="100"/>
      <c r="AV42" s="101"/>
      <c r="AW42" s="101"/>
      <c r="AX42" s="99"/>
      <c r="AY42" s="5"/>
      <c r="AZ42" s="97"/>
      <c r="BA42" s="98"/>
      <c r="BB42" s="98"/>
      <c r="BC42" s="99"/>
      <c r="BD42" s="6"/>
      <c r="BE42" s="97"/>
      <c r="BF42" s="98"/>
      <c r="BG42" s="98"/>
      <c r="BH42" s="102"/>
      <c r="BI42" s="6"/>
      <c r="BJ42" s="97"/>
      <c r="BK42" s="98"/>
      <c r="BL42" s="98"/>
      <c r="BM42" s="102"/>
      <c r="BN42" s="6"/>
      <c r="BO42" s="97"/>
      <c r="BP42" s="98"/>
      <c r="BQ42" s="98"/>
      <c r="BR42" s="102"/>
      <c r="BS42" s="6"/>
      <c r="BT42" s="97"/>
      <c r="BU42" s="98"/>
      <c r="BV42" s="98"/>
      <c r="BW42" s="102"/>
      <c r="BX42" s="1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</row>
    <row r="43" spans="1:89" ht="17.399999999999999">
      <c r="A43" s="12" t="s">
        <v>42</v>
      </c>
      <c r="B43" s="13">
        <v>0</v>
      </c>
      <c r="C43" s="14" t="s">
        <v>17</v>
      </c>
      <c r="D43" s="13">
        <v>0</v>
      </c>
      <c r="E43" s="12" t="s">
        <v>43</v>
      </c>
      <c r="F43" s="1"/>
      <c r="G43" s="13">
        <v>1</v>
      </c>
      <c r="H43" s="14" t="s">
        <v>17</v>
      </c>
      <c r="I43" s="13">
        <v>1</v>
      </c>
      <c r="J43" s="17">
        <f t="shared" ref="J43:J48" si="70">IF(OR(B43="", D43=""), "-",
  IF(OR(G43="", I43=""), 0,
    IF(AND(G43=B43, I43=D43), 10,
      IF(AND(OR(AND(B43&gt;D43, G43&gt;I43), AND(B43&lt;D43, G43&lt;I43), AND(B43=D43, G43=I43)), OR(G43=B43, I43=D43)), 7,
        IF(OR(AND(B43&gt;D43, G43&gt;I43), AND(B43&lt;D43, G43&lt;I43), AND(B43=D43, G43=I43)), 5,
          IF(OR(G43=B43, I43=D43), 2, 0)
        )
      )
    )
  )
)</f>
        <v>5</v>
      </c>
      <c r="K43" s="44"/>
      <c r="L43" s="13">
        <v>2</v>
      </c>
      <c r="M43" s="14" t="s">
        <v>17</v>
      </c>
      <c r="N43" s="13">
        <v>1</v>
      </c>
      <c r="O43" s="17">
        <f t="shared" ref="O43:O48" si="71">IF(OR(B43="", D43=""), "-",
  IF(OR(L43="", N43=""), 0,
    IF(AND(L43=B43, N43=D43), 10,
      IF(AND(OR(AND(B43&gt;D43, L43&gt;N43), AND(B43&lt;D43, L43&lt;N43), AND(B43=D43, L43=N43)), OR(L43=B43, N43=D43)), 7,
        IF(OR(AND(B43&gt;D43, L43&gt;N43), AND(B43&lt;D43, L43&lt;N43), AND(B43=D43, L43=N43)), 5,
          IF(OR(L43=B43, N43=D43), 2, 0)
        )
      )
    )
  )
)</f>
        <v>0</v>
      </c>
      <c r="P43" s="44"/>
      <c r="Q43" s="13">
        <v>2</v>
      </c>
      <c r="R43" s="14" t="s">
        <v>17</v>
      </c>
      <c r="S43" s="13">
        <v>2</v>
      </c>
      <c r="T43" s="17">
        <f t="shared" ref="T43:T48" si="72">IF(OR(B43="", D43=""), "-",
  IF(OR(Q43="", S43=""), 0,
    IF(AND(Q43=B43, S43=D43), 10,
      IF(AND(OR(AND(B43&gt;D43, Q43&gt;S43), AND(B43&lt;D43, Q43&lt;S43), AND(B43=D43, Q43=S43)), OR(Q43=B43, S43=D43)), 7,
        IF(OR(AND(B43&gt;D43, Q43&gt;S43), AND(B43&lt;D43, Q43&lt;S43), AND(B43=D43, Q43=S43)), 5,
          IF(OR(Q43=B43, S43=D43), 2, 0)
        )
      )
    )
  )
)</f>
        <v>5</v>
      </c>
      <c r="U43" s="44"/>
      <c r="V43" s="13">
        <v>3</v>
      </c>
      <c r="W43" s="14" t="s">
        <v>17</v>
      </c>
      <c r="X43" s="13">
        <v>2</v>
      </c>
      <c r="Y43" s="17">
        <f t="shared" ref="Y43:Y48" si="73">IF(OR(B43="", D43=""), "-",
  IF(OR(V43="", X43=""), 0,
    IF(AND(V43=B43, X43=D43), 10,
      IF(AND(OR(AND(B43&gt;D43, V43&gt;X43), AND(B43&lt;D43, V43&lt;X43), AND(B43=D43, V43=X43)), OR(V43=B43, X43=D43)), 7,
        IF(OR(AND(B43&gt;D43, V43&gt;X43), AND(B43&lt;D43, V43&lt;X43), AND(B43=D43, V43=X43)), 5,
          IF(OR(V43=B43, X43=D43), 2, 0)
        )
      )
    )
  )
)</f>
        <v>0</v>
      </c>
      <c r="Z43" s="44"/>
      <c r="AA43" s="13">
        <v>1</v>
      </c>
      <c r="AB43" s="14" t="s">
        <v>17</v>
      </c>
      <c r="AC43" s="13">
        <v>2</v>
      </c>
      <c r="AD43" s="17">
        <f t="shared" ref="AD43:AD48" si="74">IF(OR(B43="", D43=""), "-",
  IF(OR(AA43="", AC43=""), 0,
    IF(AND(AA43=B43, AC43=D43), 10,
      IF(AND(OR(AND(B43&gt;D43, AA43&gt;AC43), AND(B43&lt;D43, AA43&lt;AC43), AND(B43=D43, AA43=AC43)), OR(AA43=B43, AC43=D43)), 7,
        IF(OR(AND(B43&gt;D43, AA43&gt;AC43), AND(B43&lt;D43, AA43&lt;AC43), AND(B43=D43, AA43=AC43)), 5,
          IF(OR(AA43=B43, AC43=D43), 2, 0)
        )
      )
    )
  )
)</f>
        <v>0</v>
      </c>
      <c r="AE43" s="44"/>
      <c r="AF43" s="13">
        <v>1</v>
      </c>
      <c r="AG43" s="14" t="s">
        <v>17</v>
      </c>
      <c r="AH43" s="13">
        <v>1</v>
      </c>
      <c r="AI43" s="17">
        <f t="shared" ref="AI43:AI48" si="75">IF(OR(B43="", D43=""), "-",
  IF(OR(AF43="", AH43=""), 0,
    IF(AND(AF43=B43, AH43=D43), 10,
      IF(AND(OR(AND(B43&gt;D43, AF43&gt;AH43), AND(B43&lt;D43, AF43&lt;AH43), AND(B43=D43, AF43=AH43)), OR(AF43=B43, AH43=D43)), 7,
        IF(OR(AND(B43&gt;D43, AF43&gt;AH43), AND(B43&lt;D43, AF43&lt;AH43), AND(B43=D43, AF43=AH43)), 5,
          IF(OR(AF43=B43, AH43=D43), 2, 0)
        )
      )
    )
  )
)</f>
        <v>5</v>
      </c>
      <c r="AJ43" s="44"/>
      <c r="AK43" s="13">
        <v>0</v>
      </c>
      <c r="AL43" s="14" t="s">
        <v>17</v>
      </c>
      <c r="AM43" s="13">
        <v>2</v>
      </c>
      <c r="AN43" s="17">
        <f t="shared" ref="AN43:AN48" si="76">IF(OR(B43="", D43=""), "-",
  IF(OR(AK43="", AM43=""), 0,
    IF(AND(AK43=B43, AM43=D43), 10,
      IF(AND(OR(AND(B43&gt;D43, AK43&gt;AM43), AND(B43&lt;D43, AK43&lt;AM43), AND(B43=D43, AK43=AM43)), OR(AK43=B43, AM43=D43)), 7,
        IF(OR(AND(B43&gt;D43, AK43&gt;AM43), AND(B43&lt;D43, AK43&lt;AM43), AND(B43=D43, AK43=AM43)), 5,
          IF(OR(AK43=B43, AM43=D43), 2, 0)
        )
      )
    )
  )
)</f>
        <v>2</v>
      </c>
      <c r="AO43" s="44"/>
      <c r="AP43" s="13"/>
      <c r="AQ43" s="14" t="s">
        <v>17</v>
      </c>
      <c r="AR43" s="13"/>
      <c r="AS43" s="17">
        <f t="shared" ref="AS43:AS48" si="77">IF(OR(B43="", D43=""), "-",
  IF(OR(AP43="", AR43=""), 0,
    IF(AND(AP43=B43, AR43=D43), 10,
      IF(AND(OR(AND(B43&gt;D43, AP43&gt;AR43), AND(B43&lt;D43, AP43&lt;AR43), AND(B43=D43, AP43=AR43)), OR(AP43=B43, AR43=D43)), 7,
        IF(OR(AND(B43&gt;D43, AP43&gt;AR43), AND(B43&lt;D43, AP43&lt;AR43), AND(B43=D43, AP43=AR43)), 5,
          IF(OR(AP43=B43, AR43=D43), 2, 0)
        )
      )
    )
  )
)</f>
        <v>0</v>
      </c>
      <c r="AT43" s="44"/>
      <c r="AU43" s="13">
        <v>0</v>
      </c>
      <c r="AV43" s="14" t="s">
        <v>17</v>
      </c>
      <c r="AW43" s="13">
        <v>1</v>
      </c>
      <c r="AX43" s="17">
        <f t="shared" ref="AX43:AX48" si="78">IF(OR(B43="", D43=""), "-",
  IF(OR(AU43="", AW43=""), 0,
    IF(AND(AU43=B43, AW43=D43), 10,
      IF(AND(OR(AND(B43&gt;D43, AU43&gt;AW43), AND(B43&lt;D43, AU43&lt;AW43), AND(B43=D43, AU43=AW43)), OR(AU43=B43, AW43=D43)), 7,
        IF(OR(AND(B43&gt;D43, AU43&gt;AW43), AND(B43&lt;D43, AU43&lt;AW43), AND(B43=D43, AU43=AW43)), 5,
          IF(OR(AU43=B43, AW43=D43), 2, 0)
        )
      )
    )
  )
)</f>
        <v>2</v>
      </c>
      <c r="AY43" s="5"/>
      <c r="AZ43" s="13">
        <v>0</v>
      </c>
      <c r="BA43" s="14" t="s">
        <v>17</v>
      </c>
      <c r="BB43" s="13">
        <v>2</v>
      </c>
      <c r="BC43" s="17">
        <f t="shared" ref="BC43:BC48" si="79">IF(OR(B43="", D43=""), "-",
  IF(OR(AZ43="", BB43=""), 0,
    IF(AND(AZ43=B43, BB43=D43), 10,
      IF(AND(OR(AND(B43&gt;D43, AZ43&gt;BB43), AND(B43&lt;D43, AZ43&lt;BB43), AND(B43=D43, AZ43=BB43)), OR(AZ43=B43, BB43=D43)), 7,
        IF(OR(AND(B43&gt;D43, AZ43&gt;BB43), AND(B43&lt;D43, AZ43&lt;BB43), AND(B43=D43, AZ43=BB43)), 5,
          IF(OR(AZ43=B43, BB43=D43), 2, 0)
        )
      )
    )
  )
)</f>
        <v>2</v>
      </c>
      <c r="BD43" s="6"/>
      <c r="BE43" s="13">
        <v>1</v>
      </c>
      <c r="BF43" s="14" t="s">
        <v>17</v>
      </c>
      <c r="BG43" s="13">
        <v>2</v>
      </c>
      <c r="BH43" s="19">
        <f t="shared" ref="BH43:BH48" si="80">IF(OR(B43="", D43=""), "-",
  IF(OR(BE43="", BG43=""), 0,
    IF(AND(BE43=B43, BG43=D43), 10,
      IF(AND(OR(AND(B43&gt;D43, BE43&gt;BG43), AND(B43&lt;D43, BE43&lt;BG43), AND(B43=D43, BE43=BG43)), OR(BE43=B43, BG43=D43)), 7,
        IF(OR(AND(B43&gt;D43, BE43&gt;BG43), AND(B43&lt;D43, BE43&lt;BG43), AND(B43=D43, BE43=BG43)), 5,
          IF(OR(BE43=B43, BG43=D43), 2, 0)
        )
      )
    )
  )
)</f>
        <v>0</v>
      </c>
      <c r="BI43" s="6"/>
      <c r="BJ43" s="13">
        <v>1</v>
      </c>
      <c r="BK43" s="14" t="s">
        <v>17</v>
      </c>
      <c r="BL43" s="13">
        <v>2</v>
      </c>
      <c r="BM43" s="19">
        <f t="shared" ref="BM43:BM48" si="81">IF(OR(B43="", D43=""), "-",
  IF(OR(BJ43="", BL43=""), 0,
    IF(AND(BJ43=B43, BL43=D43), 10,
      IF(AND(OR(AND(B43&gt;D43, BJ43&gt;BL43), AND(B43&lt;D43, BJ43&lt;BL43), AND(B43=D43, BJ43=BL43)), OR(BJ43=B43, BL43=D43)), 7,
        IF(OR(AND(B43&gt;D43, BJ43&gt;BL43), AND(B43&lt;D43, BJ43&lt;BL43), AND(B43=D43, BJ43=BL43)), 5,
          IF(OR(BJ43=B43, BL43=D43), 2, 0)
        )
      )
    )
  )
)</f>
        <v>0</v>
      </c>
      <c r="BN43" s="6"/>
      <c r="BO43" s="13">
        <v>2</v>
      </c>
      <c r="BP43" s="14" t="s">
        <v>17</v>
      </c>
      <c r="BQ43" s="13">
        <v>0</v>
      </c>
      <c r="BR43" s="19">
        <f t="shared" ref="BR43:BR48" si="82">IF(OR(B43="", D43=""), "-",
  IF(OR(BO43="", BQ43=""), 0,
    IF(AND(BO43=B43, BQ43=D43), 10,
      IF(AND(OR(AND(B43&gt;D43, BO43&gt;BQ43), AND(B43&lt;D43, BO43&lt;BQ43), AND(B43=D43, BO43=BQ43)), OR(BO43=B43, BQ43=D43)), 7,
        IF(OR(AND(B43&gt;D43, BO43&gt;BQ43), AND(B43&lt;D43, BO43&lt;BQ43), AND(B43=D43, BO43=BQ43)), 5,
          IF(OR(BO43=B43, BQ43=D43), 2, 0)
        )
      )
    )
  )
)</f>
        <v>2</v>
      </c>
      <c r="BS43" s="6"/>
      <c r="BT43" s="13">
        <v>0</v>
      </c>
      <c r="BU43" s="14" t="s">
        <v>17</v>
      </c>
      <c r="BV43" s="13">
        <v>2</v>
      </c>
      <c r="BW43" s="19">
        <f t="shared" ref="BW43:BW48" si="83">IF(OR(B43="", D43=""), "-",
  IF(OR(BT43="", BV43=""), 0,
    IF(AND(BT43=B43, BV43=D43), 10,
      IF(AND(OR(AND(B43&gt;D43, BT43&gt;BV43), AND(B43&lt;D43, BT43&lt;BV43), AND(B43=D43, BT43=BV43)), OR(BT43=B43, BV43=D43)), 7,
        IF(OR(AND(B43&gt;D43, BT43&gt;BV43), AND(B43&lt;D43, BT43&lt;BV43), AND(B43=D43, BT43=BV43)), 5,
          IF(OR(BT43=B43, BV43=D43), 2, 0)
        )
      )
    )
  )
)</f>
        <v>2</v>
      </c>
      <c r="BX43" s="1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</row>
    <row r="44" spans="1:89" ht="17.399999999999999">
      <c r="A44" s="103" t="s">
        <v>44</v>
      </c>
      <c r="B44" s="104">
        <v>0</v>
      </c>
      <c r="C44" s="105" t="s">
        <v>17</v>
      </c>
      <c r="D44" s="104">
        <v>1</v>
      </c>
      <c r="E44" s="103" t="s">
        <v>45</v>
      </c>
      <c r="F44" s="1"/>
      <c r="G44" s="104">
        <v>0</v>
      </c>
      <c r="H44" s="105" t="s">
        <v>17</v>
      </c>
      <c r="I44" s="104">
        <v>2</v>
      </c>
      <c r="J44" s="106">
        <f t="shared" si="70"/>
        <v>7</v>
      </c>
      <c r="K44" s="44"/>
      <c r="L44" s="104">
        <v>1</v>
      </c>
      <c r="M44" s="105" t="s">
        <v>17</v>
      </c>
      <c r="N44" s="104">
        <v>1</v>
      </c>
      <c r="O44" s="106">
        <f t="shared" si="71"/>
        <v>2</v>
      </c>
      <c r="P44" s="44"/>
      <c r="Q44" s="104">
        <v>1</v>
      </c>
      <c r="R44" s="105" t="s">
        <v>17</v>
      </c>
      <c r="S44" s="104">
        <v>2</v>
      </c>
      <c r="T44" s="106">
        <f t="shared" si="72"/>
        <v>5</v>
      </c>
      <c r="U44" s="44"/>
      <c r="V44" s="104">
        <v>1</v>
      </c>
      <c r="W44" s="105" t="s">
        <v>17</v>
      </c>
      <c r="X44" s="104">
        <v>1</v>
      </c>
      <c r="Y44" s="106">
        <f t="shared" si="73"/>
        <v>2</v>
      </c>
      <c r="Z44" s="44"/>
      <c r="AA44" s="104">
        <v>1</v>
      </c>
      <c r="AB44" s="105" t="s">
        <v>17</v>
      </c>
      <c r="AC44" s="104">
        <v>1</v>
      </c>
      <c r="AD44" s="106">
        <f t="shared" si="74"/>
        <v>2</v>
      </c>
      <c r="AE44" s="44"/>
      <c r="AF44" s="104">
        <v>2</v>
      </c>
      <c r="AG44" s="105" t="s">
        <v>17</v>
      </c>
      <c r="AH44" s="104">
        <v>1</v>
      </c>
      <c r="AI44" s="106">
        <f t="shared" si="75"/>
        <v>2</v>
      </c>
      <c r="AJ44" s="44"/>
      <c r="AK44" s="104">
        <v>0</v>
      </c>
      <c r="AL44" s="105" t="s">
        <v>17</v>
      </c>
      <c r="AM44" s="104">
        <v>0</v>
      </c>
      <c r="AN44" s="106">
        <f t="shared" si="76"/>
        <v>2</v>
      </c>
      <c r="AO44" s="44"/>
      <c r="AP44" s="104"/>
      <c r="AQ44" s="105" t="s">
        <v>17</v>
      </c>
      <c r="AR44" s="104"/>
      <c r="AS44" s="106">
        <f t="shared" si="77"/>
        <v>0</v>
      </c>
      <c r="AT44" s="44"/>
      <c r="AU44" s="104">
        <v>1</v>
      </c>
      <c r="AV44" s="105" t="s">
        <v>17</v>
      </c>
      <c r="AW44" s="104">
        <v>1</v>
      </c>
      <c r="AX44" s="106">
        <f t="shared" si="78"/>
        <v>2</v>
      </c>
      <c r="AY44" s="5"/>
      <c r="AZ44" s="104">
        <v>2</v>
      </c>
      <c r="BA44" s="105" t="s">
        <v>17</v>
      </c>
      <c r="BB44" s="104">
        <v>2</v>
      </c>
      <c r="BC44" s="106">
        <f t="shared" si="79"/>
        <v>0</v>
      </c>
      <c r="BD44" s="6"/>
      <c r="BE44" s="104">
        <v>0</v>
      </c>
      <c r="BF44" s="105" t="s">
        <v>17</v>
      </c>
      <c r="BG44" s="104">
        <v>0</v>
      </c>
      <c r="BH44" s="107">
        <f t="shared" si="80"/>
        <v>2</v>
      </c>
      <c r="BI44" s="6"/>
      <c r="BJ44" s="104">
        <v>1</v>
      </c>
      <c r="BK44" s="105" t="s">
        <v>17</v>
      </c>
      <c r="BL44" s="104">
        <v>1</v>
      </c>
      <c r="BM44" s="107">
        <f t="shared" si="81"/>
        <v>2</v>
      </c>
      <c r="BN44" s="6"/>
      <c r="BO44" s="104">
        <v>1</v>
      </c>
      <c r="BP44" s="105" t="s">
        <v>17</v>
      </c>
      <c r="BQ44" s="104">
        <v>1</v>
      </c>
      <c r="BR44" s="107">
        <f t="shared" si="82"/>
        <v>2</v>
      </c>
      <c r="BS44" s="6"/>
      <c r="BT44" s="104">
        <v>1</v>
      </c>
      <c r="BU44" s="105" t="s">
        <v>17</v>
      </c>
      <c r="BV44" s="104">
        <v>0</v>
      </c>
      <c r="BW44" s="107">
        <f t="shared" si="83"/>
        <v>0</v>
      </c>
      <c r="BX44" s="1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</row>
    <row r="45" spans="1:89" ht="17.399999999999999">
      <c r="A45" s="12" t="s">
        <v>45</v>
      </c>
      <c r="B45" s="13">
        <v>3</v>
      </c>
      <c r="C45" s="14" t="s">
        <v>17</v>
      </c>
      <c r="D45" s="13">
        <v>4</v>
      </c>
      <c r="E45" s="12" t="s">
        <v>43</v>
      </c>
      <c r="F45" s="1"/>
      <c r="G45" s="13">
        <v>3</v>
      </c>
      <c r="H45" s="14" t="s">
        <v>17</v>
      </c>
      <c r="I45" s="13">
        <v>0</v>
      </c>
      <c r="J45" s="17">
        <f t="shared" si="70"/>
        <v>2</v>
      </c>
      <c r="K45" s="44"/>
      <c r="L45" s="13">
        <v>0</v>
      </c>
      <c r="M45" s="14" t="s">
        <v>17</v>
      </c>
      <c r="N45" s="13">
        <v>2</v>
      </c>
      <c r="O45" s="17">
        <f t="shared" si="71"/>
        <v>5</v>
      </c>
      <c r="P45" s="44"/>
      <c r="Q45" s="13">
        <v>0</v>
      </c>
      <c r="R45" s="14" t="s">
        <v>17</v>
      </c>
      <c r="S45" s="13">
        <v>2</v>
      </c>
      <c r="T45" s="17">
        <f t="shared" si="72"/>
        <v>5</v>
      </c>
      <c r="U45" s="44"/>
      <c r="V45" s="13">
        <v>0</v>
      </c>
      <c r="W45" s="14" t="s">
        <v>17</v>
      </c>
      <c r="X45" s="13">
        <v>2</v>
      </c>
      <c r="Y45" s="17">
        <f t="shared" si="73"/>
        <v>5</v>
      </c>
      <c r="Z45" s="44"/>
      <c r="AA45" s="13">
        <v>2</v>
      </c>
      <c r="AB45" s="14" t="s">
        <v>17</v>
      </c>
      <c r="AC45" s="13">
        <v>0</v>
      </c>
      <c r="AD45" s="17">
        <f t="shared" si="74"/>
        <v>0</v>
      </c>
      <c r="AE45" s="44"/>
      <c r="AF45" s="13">
        <v>1</v>
      </c>
      <c r="AG45" s="14" t="s">
        <v>17</v>
      </c>
      <c r="AH45" s="13">
        <v>6</v>
      </c>
      <c r="AI45" s="17">
        <f t="shared" si="75"/>
        <v>5</v>
      </c>
      <c r="AJ45" s="44"/>
      <c r="AK45" s="13">
        <v>0</v>
      </c>
      <c r="AL45" s="14" t="s">
        <v>17</v>
      </c>
      <c r="AM45" s="13">
        <v>2</v>
      </c>
      <c r="AN45" s="17">
        <f t="shared" si="76"/>
        <v>5</v>
      </c>
      <c r="AO45" s="44"/>
      <c r="AP45" s="13"/>
      <c r="AQ45" s="14" t="s">
        <v>17</v>
      </c>
      <c r="AR45" s="13"/>
      <c r="AS45" s="17">
        <f t="shared" si="77"/>
        <v>0</v>
      </c>
      <c r="AT45" s="44"/>
      <c r="AU45" s="13">
        <v>0</v>
      </c>
      <c r="AV45" s="14" t="s">
        <v>17</v>
      </c>
      <c r="AW45" s="13">
        <v>3</v>
      </c>
      <c r="AX45" s="17">
        <f t="shared" si="78"/>
        <v>5</v>
      </c>
      <c r="AY45" s="5"/>
      <c r="AZ45" s="13">
        <v>0</v>
      </c>
      <c r="BA45" s="14" t="s">
        <v>17</v>
      </c>
      <c r="BB45" s="13">
        <v>2</v>
      </c>
      <c r="BC45" s="17">
        <f t="shared" si="79"/>
        <v>5</v>
      </c>
      <c r="BD45" s="6"/>
      <c r="BE45" s="13">
        <v>0</v>
      </c>
      <c r="BF45" s="14" t="s">
        <v>17</v>
      </c>
      <c r="BG45" s="13">
        <v>3</v>
      </c>
      <c r="BH45" s="19">
        <f t="shared" si="80"/>
        <v>5</v>
      </c>
      <c r="BI45" s="6"/>
      <c r="BJ45" s="13">
        <v>0</v>
      </c>
      <c r="BK45" s="14" t="s">
        <v>17</v>
      </c>
      <c r="BL45" s="13">
        <v>3</v>
      </c>
      <c r="BM45" s="19">
        <f t="shared" si="81"/>
        <v>5</v>
      </c>
      <c r="BN45" s="6"/>
      <c r="BO45" s="13">
        <v>0</v>
      </c>
      <c r="BP45" s="14" t="s">
        <v>17</v>
      </c>
      <c r="BQ45" s="13">
        <v>4</v>
      </c>
      <c r="BR45" s="19">
        <f t="shared" si="82"/>
        <v>7</v>
      </c>
      <c r="BS45" s="6"/>
      <c r="BT45" s="13">
        <v>0</v>
      </c>
      <c r="BU45" s="14" t="s">
        <v>17</v>
      </c>
      <c r="BV45" s="13">
        <v>3</v>
      </c>
      <c r="BW45" s="19">
        <f t="shared" si="83"/>
        <v>5</v>
      </c>
      <c r="BX45" s="1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</row>
    <row r="46" spans="1:89" ht="17.399999999999999">
      <c r="A46" s="103" t="s">
        <v>42</v>
      </c>
      <c r="B46" s="104">
        <v>4</v>
      </c>
      <c r="C46" s="105" t="s">
        <v>17</v>
      </c>
      <c r="D46" s="104">
        <v>2</v>
      </c>
      <c r="E46" s="103" t="s">
        <v>44</v>
      </c>
      <c r="F46" s="1"/>
      <c r="G46" s="104">
        <v>2</v>
      </c>
      <c r="H46" s="105" t="s">
        <v>17</v>
      </c>
      <c r="I46" s="104">
        <v>1</v>
      </c>
      <c r="J46" s="106">
        <f t="shared" si="70"/>
        <v>5</v>
      </c>
      <c r="K46" s="44"/>
      <c r="L46" s="104">
        <v>2</v>
      </c>
      <c r="M46" s="105" t="s">
        <v>17</v>
      </c>
      <c r="N46" s="104">
        <v>1</v>
      </c>
      <c r="O46" s="106">
        <f t="shared" si="71"/>
        <v>5</v>
      </c>
      <c r="P46" s="44"/>
      <c r="Q46" s="104">
        <v>3</v>
      </c>
      <c r="R46" s="105" t="s">
        <v>17</v>
      </c>
      <c r="S46" s="104">
        <v>1</v>
      </c>
      <c r="T46" s="106">
        <f t="shared" si="72"/>
        <v>5</v>
      </c>
      <c r="U46" s="44"/>
      <c r="V46" s="104">
        <v>1</v>
      </c>
      <c r="W46" s="105" t="s">
        <v>17</v>
      </c>
      <c r="X46" s="104">
        <v>0</v>
      </c>
      <c r="Y46" s="106">
        <f t="shared" si="73"/>
        <v>5</v>
      </c>
      <c r="Z46" s="44"/>
      <c r="AA46" s="104">
        <v>1</v>
      </c>
      <c r="AB46" s="105" t="s">
        <v>17</v>
      </c>
      <c r="AC46" s="104">
        <v>0</v>
      </c>
      <c r="AD46" s="106">
        <f t="shared" si="74"/>
        <v>5</v>
      </c>
      <c r="AE46" s="44"/>
      <c r="AF46" s="104">
        <v>2</v>
      </c>
      <c r="AG46" s="105" t="s">
        <v>17</v>
      </c>
      <c r="AH46" s="104">
        <v>0</v>
      </c>
      <c r="AI46" s="106">
        <f t="shared" si="75"/>
        <v>5</v>
      </c>
      <c r="AJ46" s="44"/>
      <c r="AK46" s="104">
        <v>2</v>
      </c>
      <c r="AL46" s="105" t="s">
        <v>17</v>
      </c>
      <c r="AM46" s="104">
        <v>0</v>
      </c>
      <c r="AN46" s="106">
        <f t="shared" si="76"/>
        <v>5</v>
      </c>
      <c r="AO46" s="44"/>
      <c r="AP46" s="104"/>
      <c r="AQ46" s="105" t="s">
        <v>17</v>
      </c>
      <c r="AR46" s="104"/>
      <c r="AS46" s="106">
        <f t="shared" si="77"/>
        <v>0</v>
      </c>
      <c r="AT46" s="44"/>
      <c r="AU46" s="104">
        <v>2</v>
      </c>
      <c r="AV46" s="105" t="s">
        <v>17</v>
      </c>
      <c r="AW46" s="104">
        <v>0</v>
      </c>
      <c r="AX46" s="106">
        <f t="shared" si="78"/>
        <v>5</v>
      </c>
      <c r="AY46" s="5"/>
      <c r="AZ46" s="104">
        <v>1</v>
      </c>
      <c r="BA46" s="105" t="s">
        <v>17</v>
      </c>
      <c r="BB46" s="104">
        <v>0</v>
      </c>
      <c r="BC46" s="106">
        <f t="shared" si="79"/>
        <v>5</v>
      </c>
      <c r="BD46" s="6"/>
      <c r="BE46" s="104">
        <v>2</v>
      </c>
      <c r="BF46" s="105" t="s">
        <v>17</v>
      </c>
      <c r="BG46" s="104">
        <v>0</v>
      </c>
      <c r="BH46" s="107">
        <f t="shared" si="80"/>
        <v>5</v>
      </c>
      <c r="BI46" s="6"/>
      <c r="BJ46" s="104">
        <v>2</v>
      </c>
      <c r="BK46" s="105" t="s">
        <v>17</v>
      </c>
      <c r="BL46" s="104">
        <v>0</v>
      </c>
      <c r="BM46" s="107">
        <f t="shared" si="81"/>
        <v>5</v>
      </c>
      <c r="BN46" s="6"/>
      <c r="BO46" s="104">
        <v>2</v>
      </c>
      <c r="BP46" s="105" t="s">
        <v>17</v>
      </c>
      <c r="BQ46" s="104">
        <v>1</v>
      </c>
      <c r="BR46" s="107">
        <f t="shared" si="82"/>
        <v>5</v>
      </c>
      <c r="BS46" s="6"/>
      <c r="BT46" s="104">
        <v>2</v>
      </c>
      <c r="BU46" s="105" t="s">
        <v>17</v>
      </c>
      <c r="BV46" s="104">
        <v>1</v>
      </c>
      <c r="BW46" s="107">
        <f t="shared" si="83"/>
        <v>5</v>
      </c>
      <c r="BX46" s="1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</row>
    <row r="47" spans="1:89" ht="17.399999999999999">
      <c r="A47" s="12" t="s">
        <v>45</v>
      </c>
      <c r="B47" s="13">
        <v>0</v>
      </c>
      <c r="C47" s="14" t="s">
        <v>17</v>
      </c>
      <c r="D47" s="13">
        <v>0</v>
      </c>
      <c r="E47" s="12" t="s">
        <v>42</v>
      </c>
      <c r="F47" s="1"/>
      <c r="G47" s="13">
        <v>1</v>
      </c>
      <c r="H47" s="14" t="s">
        <v>17</v>
      </c>
      <c r="I47" s="13">
        <v>3</v>
      </c>
      <c r="J47" s="17">
        <f t="shared" si="70"/>
        <v>0</v>
      </c>
      <c r="K47" s="44"/>
      <c r="L47" s="13">
        <v>1</v>
      </c>
      <c r="M47" s="14" t="s">
        <v>17</v>
      </c>
      <c r="N47" s="13">
        <v>2</v>
      </c>
      <c r="O47" s="17">
        <f t="shared" si="71"/>
        <v>0</v>
      </c>
      <c r="P47" s="44"/>
      <c r="Q47" s="13">
        <v>1</v>
      </c>
      <c r="R47" s="14" t="s">
        <v>17</v>
      </c>
      <c r="S47" s="13">
        <v>2</v>
      </c>
      <c r="T47" s="17">
        <f t="shared" si="72"/>
        <v>0</v>
      </c>
      <c r="U47" s="44"/>
      <c r="V47" s="13">
        <v>1</v>
      </c>
      <c r="W47" s="14" t="s">
        <v>17</v>
      </c>
      <c r="X47" s="13">
        <v>2</v>
      </c>
      <c r="Y47" s="17">
        <f t="shared" si="73"/>
        <v>0</v>
      </c>
      <c r="Z47" s="44"/>
      <c r="AA47" s="13">
        <v>2</v>
      </c>
      <c r="AB47" s="14" t="s">
        <v>17</v>
      </c>
      <c r="AC47" s="13">
        <v>3</v>
      </c>
      <c r="AD47" s="17">
        <f t="shared" si="74"/>
        <v>0</v>
      </c>
      <c r="AE47" s="44"/>
      <c r="AF47" s="13">
        <v>1</v>
      </c>
      <c r="AG47" s="14" t="s">
        <v>17</v>
      </c>
      <c r="AH47" s="13">
        <v>4</v>
      </c>
      <c r="AI47" s="17">
        <f t="shared" si="75"/>
        <v>0</v>
      </c>
      <c r="AJ47" s="44"/>
      <c r="AK47" s="13">
        <v>0</v>
      </c>
      <c r="AL47" s="14" t="s">
        <v>17</v>
      </c>
      <c r="AM47" s="13">
        <v>1</v>
      </c>
      <c r="AN47" s="17">
        <f t="shared" si="76"/>
        <v>2</v>
      </c>
      <c r="AO47" s="44"/>
      <c r="AP47" s="13"/>
      <c r="AQ47" s="14" t="s">
        <v>17</v>
      </c>
      <c r="AR47" s="13"/>
      <c r="AS47" s="17">
        <f t="shared" si="77"/>
        <v>0</v>
      </c>
      <c r="AT47" s="44"/>
      <c r="AU47" s="13">
        <v>0</v>
      </c>
      <c r="AV47" s="14" t="s">
        <v>17</v>
      </c>
      <c r="AW47" s="13">
        <v>1</v>
      </c>
      <c r="AX47" s="17">
        <f t="shared" si="78"/>
        <v>2</v>
      </c>
      <c r="AY47" s="5"/>
      <c r="AZ47" s="13">
        <v>0</v>
      </c>
      <c r="BA47" s="14" t="s">
        <v>17</v>
      </c>
      <c r="BB47" s="13">
        <v>0</v>
      </c>
      <c r="BC47" s="17">
        <f t="shared" si="79"/>
        <v>10</v>
      </c>
      <c r="BD47" s="6"/>
      <c r="BE47" s="13">
        <v>0</v>
      </c>
      <c r="BF47" s="14" t="s">
        <v>17</v>
      </c>
      <c r="BG47" s="13">
        <v>2</v>
      </c>
      <c r="BH47" s="19">
        <f t="shared" si="80"/>
        <v>2</v>
      </c>
      <c r="BI47" s="6"/>
      <c r="BJ47" s="13">
        <v>1</v>
      </c>
      <c r="BK47" s="14" t="s">
        <v>17</v>
      </c>
      <c r="BL47" s="13">
        <v>3</v>
      </c>
      <c r="BM47" s="19">
        <f t="shared" si="81"/>
        <v>0</v>
      </c>
      <c r="BN47" s="6"/>
      <c r="BO47" s="13">
        <v>0</v>
      </c>
      <c r="BP47" s="14" t="s">
        <v>17</v>
      </c>
      <c r="BQ47" s="13">
        <v>1</v>
      </c>
      <c r="BR47" s="19">
        <f t="shared" si="82"/>
        <v>2</v>
      </c>
      <c r="BS47" s="6"/>
      <c r="BT47" s="13">
        <v>0</v>
      </c>
      <c r="BU47" s="14" t="s">
        <v>17</v>
      </c>
      <c r="BV47" s="13">
        <v>2</v>
      </c>
      <c r="BW47" s="19">
        <f t="shared" si="83"/>
        <v>2</v>
      </c>
      <c r="BX47" s="1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</row>
    <row r="48" spans="1:89" ht="17.399999999999999">
      <c r="A48" s="103" t="s">
        <v>43</v>
      </c>
      <c r="B48" s="104">
        <v>1</v>
      </c>
      <c r="C48" s="105" t="s">
        <v>17</v>
      </c>
      <c r="D48" s="104">
        <v>0</v>
      </c>
      <c r="E48" s="103" t="s">
        <v>44</v>
      </c>
      <c r="F48" s="1"/>
      <c r="G48" s="104">
        <v>0</v>
      </c>
      <c r="H48" s="105" t="s">
        <v>17</v>
      </c>
      <c r="I48" s="104">
        <v>1</v>
      </c>
      <c r="J48" s="106">
        <f t="shared" si="70"/>
        <v>0</v>
      </c>
      <c r="K48" s="44"/>
      <c r="L48" s="104">
        <v>3</v>
      </c>
      <c r="M48" s="105" t="s">
        <v>17</v>
      </c>
      <c r="N48" s="104">
        <v>1</v>
      </c>
      <c r="O48" s="106">
        <f t="shared" si="71"/>
        <v>5</v>
      </c>
      <c r="P48" s="44"/>
      <c r="Q48" s="104">
        <v>2</v>
      </c>
      <c r="R48" s="105" t="s">
        <v>17</v>
      </c>
      <c r="S48" s="104">
        <v>0</v>
      </c>
      <c r="T48" s="106">
        <f t="shared" si="72"/>
        <v>7</v>
      </c>
      <c r="U48" s="44"/>
      <c r="V48" s="104">
        <v>1</v>
      </c>
      <c r="W48" s="105" t="s">
        <v>17</v>
      </c>
      <c r="X48" s="104">
        <v>1</v>
      </c>
      <c r="Y48" s="106">
        <f t="shared" si="73"/>
        <v>2</v>
      </c>
      <c r="Z48" s="44"/>
      <c r="AA48" s="104">
        <v>2</v>
      </c>
      <c r="AB48" s="105" t="s">
        <v>17</v>
      </c>
      <c r="AC48" s="104">
        <v>1</v>
      </c>
      <c r="AD48" s="106">
        <f t="shared" si="74"/>
        <v>5</v>
      </c>
      <c r="AE48" s="44"/>
      <c r="AF48" s="104">
        <v>2</v>
      </c>
      <c r="AG48" s="105" t="s">
        <v>17</v>
      </c>
      <c r="AH48" s="104">
        <v>2</v>
      </c>
      <c r="AI48" s="106">
        <f t="shared" si="75"/>
        <v>0</v>
      </c>
      <c r="AJ48" s="44"/>
      <c r="AK48" s="104">
        <v>4</v>
      </c>
      <c r="AL48" s="105" t="s">
        <v>17</v>
      </c>
      <c r="AM48" s="104">
        <v>0</v>
      </c>
      <c r="AN48" s="106">
        <f t="shared" si="76"/>
        <v>7</v>
      </c>
      <c r="AO48" s="44"/>
      <c r="AP48" s="104"/>
      <c r="AQ48" s="105" t="s">
        <v>17</v>
      </c>
      <c r="AR48" s="104"/>
      <c r="AS48" s="106">
        <f t="shared" si="77"/>
        <v>0</v>
      </c>
      <c r="AT48" s="44"/>
      <c r="AU48" s="104">
        <v>3</v>
      </c>
      <c r="AV48" s="105" t="s">
        <v>17</v>
      </c>
      <c r="AW48" s="104">
        <v>0</v>
      </c>
      <c r="AX48" s="106">
        <f t="shared" si="78"/>
        <v>7</v>
      </c>
      <c r="AY48" s="5"/>
      <c r="AZ48" s="104">
        <v>3</v>
      </c>
      <c r="BA48" s="105" t="s">
        <v>17</v>
      </c>
      <c r="BB48" s="104">
        <v>0</v>
      </c>
      <c r="BC48" s="106">
        <f t="shared" si="79"/>
        <v>7</v>
      </c>
      <c r="BD48" s="6"/>
      <c r="BE48" s="104">
        <v>3</v>
      </c>
      <c r="BF48" s="105" t="s">
        <v>17</v>
      </c>
      <c r="BG48" s="104">
        <v>0</v>
      </c>
      <c r="BH48" s="107">
        <f t="shared" si="80"/>
        <v>7</v>
      </c>
      <c r="BI48" s="6"/>
      <c r="BJ48" s="104">
        <v>3</v>
      </c>
      <c r="BK48" s="105" t="s">
        <v>17</v>
      </c>
      <c r="BL48" s="104">
        <v>0</v>
      </c>
      <c r="BM48" s="107">
        <f t="shared" si="81"/>
        <v>7</v>
      </c>
      <c r="BN48" s="6"/>
      <c r="BO48" s="104">
        <v>2</v>
      </c>
      <c r="BP48" s="105" t="s">
        <v>17</v>
      </c>
      <c r="BQ48" s="104">
        <v>0</v>
      </c>
      <c r="BR48" s="107">
        <f t="shared" si="82"/>
        <v>7</v>
      </c>
      <c r="BS48" s="6"/>
      <c r="BT48" s="104">
        <v>3</v>
      </c>
      <c r="BU48" s="105" t="s">
        <v>17</v>
      </c>
      <c r="BV48" s="104">
        <v>1</v>
      </c>
      <c r="BW48" s="107">
        <f t="shared" si="83"/>
        <v>5</v>
      </c>
      <c r="BX48" s="1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</row>
    <row r="49" spans="1:89" ht="17.399999999999999">
      <c r="A49" s="108"/>
      <c r="B49" s="108"/>
      <c r="C49" s="109"/>
      <c r="D49" s="108"/>
      <c r="E49" s="108"/>
      <c r="F49" s="1"/>
      <c r="G49" s="316">
        <f>SUM(J43:J48)</f>
        <v>19</v>
      </c>
      <c r="H49" s="301"/>
      <c r="I49" s="301"/>
      <c r="J49" s="32"/>
      <c r="K49" s="33"/>
      <c r="L49" s="316">
        <f>SUM(O43:O48)</f>
        <v>17</v>
      </c>
      <c r="M49" s="301"/>
      <c r="N49" s="301"/>
      <c r="O49" s="32"/>
      <c r="P49" s="33"/>
      <c r="Q49" s="316">
        <f>SUM(T43:T48)</f>
        <v>27</v>
      </c>
      <c r="R49" s="301"/>
      <c r="S49" s="301"/>
      <c r="T49" s="32"/>
      <c r="U49" s="33"/>
      <c r="V49" s="316">
        <f>SUM(Y43:Y48)</f>
        <v>14</v>
      </c>
      <c r="W49" s="301"/>
      <c r="X49" s="301"/>
      <c r="Y49" s="32"/>
      <c r="Z49" s="33"/>
      <c r="AA49" s="316">
        <f>SUM(AD43:AD48)</f>
        <v>12</v>
      </c>
      <c r="AB49" s="301"/>
      <c r="AC49" s="301"/>
      <c r="AD49" s="32"/>
      <c r="AE49" s="33"/>
      <c r="AF49" s="316">
        <f>SUM(AI43:AI48)</f>
        <v>17</v>
      </c>
      <c r="AG49" s="301"/>
      <c r="AH49" s="301"/>
      <c r="AI49" s="32"/>
      <c r="AJ49" s="33"/>
      <c r="AK49" s="316">
        <f>SUM(AN43:AN48)</f>
        <v>23</v>
      </c>
      <c r="AL49" s="301"/>
      <c r="AM49" s="301"/>
      <c r="AN49" s="32"/>
      <c r="AO49" s="33"/>
      <c r="AP49" s="316">
        <f>SUM(AS43:AS48)</f>
        <v>0</v>
      </c>
      <c r="AQ49" s="301"/>
      <c r="AR49" s="301"/>
      <c r="AS49" s="34"/>
      <c r="AT49" s="33"/>
      <c r="AU49" s="316">
        <f>SUM(AX43:AX48)</f>
        <v>23</v>
      </c>
      <c r="AV49" s="301"/>
      <c r="AW49" s="301"/>
      <c r="AX49" s="35"/>
      <c r="AY49" s="5"/>
      <c r="AZ49" s="316">
        <f>SUM(BC43:BC48)</f>
        <v>29</v>
      </c>
      <c r="BA49" s="301"/>
      <c r="BB49" s="301"/>
      <c r="BC49" s="35"/>
      <c r="BD49" s="6"/>
      <c r="BE49" s="316">
        <f>SUM(BH43:BH48)</f>
        <v>21</v>
      </c>
      <c r="BF49" s="301"/>
      <c r="BG49" s="301"/>
      <c r="BH49" s="35"/>
      <c r="BI49" s="6"/>
      <c r="BJ49" s="316">
        <f>SUM(BM43:BM48)</f>
        <v>19</v>
      </c>
      <c r="BK49" s="301"/>
      <c r="BL49" s="301"/>
      <c r="BM49" s="35"/>
      <c r="BN49" s="6"/>
      <c r="BO49" s="316">
        <f>SUM(BR43:BR48)</f>
        <v>25</v>
      </c>
      <c r="BP49" s="301"/>
      <c r="BQ49" s="301"/>
      <c r="BR49" s="35"/>
      <c r="BS49" s="6"/>
      <c r="BT49" s="316">
        <f>SUM(BW43:BW48)</f>
        <v>19</v>
      </c>
      <c r="BU49" s="301"/>
      <c r="BV49" s="301"/>
      <c r="BW49" s="35"/>
      <c r="BX49" s="1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</row>
    <row r="50" spans="1:89" ht="17.399999999999999">
      <c r="A50" s="305" t="s">
        <v>46</v>
      </c>
      <c r="B50" s="301"/>
      <c r="C50" s="301"/>
      <c r="D50" s="301"/>
      <c r="E50" s="301"/>
      <c r="F50" s="1"/>
      <c r="G50" s="111"/>
      <c r="H50" s="112"/>
      <c r="I50" s="112"/>
      <c r="J50" s="113"/>
      <c r="K50" s="40"/>
      <c r="L50" s="111"/>
      <c r="M50" s="112"/>
      <c r="N50" s="112"/>
      <c r="O50" s="113"/>
      <c r="P50" s="40"/>
      <c r="Q50" s="111"/>
      <c r="R50" s="112"/>
      <c r="S50" s="112"/>
      <c r="T50" s="113"/>
      <c r="U50" s="40"/>
      <c r="V50" s="111"/>
      <c r="W50" s="112"/>
      <c r="X50" s="112"/>
      <c r="Y50" s="113"/>
      <c r="Z50" s="40"/>
      <c r="AA50" s="111"/>
      <c r="AB50" s="112"/>
      <c r="AC50" s="112"/>
      <c r="AD50" s="113"/>
      <c r="AE50" s="40"/>
      <c r="AF50" s="111"/>
      <c r="AG50" s="112"/>
      <c r="AH50" s="112"/>
      <c r="AI50" s="113"/>
      <c r="AJ50" s="40"/>
      <c r="AK50" s="111"/>
      <c r="AL50" s="112"/>
      <c r="AM50" s="112"/>
      <c r="AN50" s="113"/>
      <c r="AO50" s="40"/>
      <c r="AP50" s="111"/>
      <c r="AQ50" s="112"/>
      <c r="AR50" s="112"/>
      <c r="AS50" s="113"/>
      <c r="AT50" s="34"/>
      <c r="AU50" s="114"/>
      <c r="AV50" s="115"/>
      <c r="AW50" s="115"/>
      <c r="AX50" s="113"/>
      <c r="AY50" s="5"/>
      <c r="AZ50" s="111"/>
      <c r="BA50" s="112"/>
      <c r="BB50" s="112"/>
      <c r="BC50" s="113"/>
      <c r="BD50" s="6"/>
      <c r="BE50" s="111"/>
      <c r="BF50" s="112"/>
      <c r="BG50" s="112"/>
      <c r="BH50" s="116"/>
      <c r="BI50" s="6"/>
      <c r="BJ50" s="111"/>
      <c r="BK50" s="112"/>
      <c r="BL50" s="112"/>
      <c r="BM50" s="116"/>
      <c r="BN50" s="6"/>
      <c r="BO50" s="111"/>
      <c r="BP50" s="112"/>
      <c r="BQ50" s="112"/>
      <c r="BR50" s="116"/>
      <c r="BS50" s="6"/>
      <c r="BT50" s="111"/>
      <c r="BU50" s="112"/>
      <c r="BV50" s="112"/>
      <c r="BW50" s="116"/>
      <c r="BX50" s="1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</row>
    <row r="51" spans="1:89" ht="17.399999999999999">
      <c r="A51" s="12" t="s">
        <v>47</v>
      </c>
      <c r="B51" s="13">
        <v>2</v>
      </c>
      <c r="C51" s="14" t="s">
        <v>17</v>
      </c>
      <c r="D51" s="13">
        <v>0</v>
      </c>
      <c r="E51" s="12" t="s">
        <v>48</v>
      </c>
      <c r="F51" s="1"/>
      <c r="G51" s="13">
        <v>2</v>
      </c>
      <c r="H51" s="14" t="s">
        <v>17</v>
      </c>
      <c r="I51" s="13">
        <v>0</v>
      </c>
      <c r="J51" s="17">
        <f t="shared" ref="J51:J56" si="84">IF(OR(B51="", D51=""), "-",
  IF(OR(G51="", I51=""), 0,
    IF(AND(G51=B51, I51=D51), 10,
      IF(AND(OR(AND(B51&gt;D51, G51&gt;I51), AND(B51&lt;D51, G51&lt;I51), AND(B51=D51, G51=I51)), OR(G51=B51, I51=D51)), 7,
        IF(OR(AND(B51&gt;D51, G51&gt;I51), AND(B51&lt;D51, G51&lt;I51), AND(B51=D51, G51=I51)), 5,
          IF(OR(G51=B51, I51=D51), 2, 0)
        )
      )
    )
  )
)</f>
        <v>10</v>
      </c>
      <c r="K51" s="44"/>
      <c r="L51" s="13">
        <v>4</v>
      </c>
      <c r="M51" s="14" t="s">
        <v>17</v>
      </c>
      <c r="N51" s="13">
        <v>0</v>
      </c>
      <c r="O51" s="17">
        <f t="shared" ref="O51:O56" si="85">IF(OR(B51="", D51=""), "-",
  IF(OR(L51="", N51=""), 0,
    IF(AND(L51=B51, N51=D51), 10,
      IF(AND(OR(AND(B51&gt;D51, L51&gt;N51), AND(B51&lt;D51, L51&lt;N51), AND(B51=D51, L51=N51)), OR(L51=B51, N51=D51)), 7,
        IF(OR(AND(B51&gt;D51, L51&gt;N51), AND(B51&lt;D51, L51&lt;N51), AND(B51=D51, L51=N51)), 5,
          IF(OR(L51=B51, N51=D51), 2, 0)
        )
      )
    )
  )
)</f>
        <v>7</v>
      </c>
      <c r="P51" s="44"/>
      <c r="Q51" s="13">
        <v>4</v>
      </c>
      <c r="R51" s="14" t="s">
        <v>17</v>
      </c>
      <c r="S51" s="13">
        <v>0</v>
      </c>
      <c r="T51" s="17">
        <f t="shared" ref="T51:T56" si="86">IF(OR(B51="", D51=""), "-",
  IF(OR(Q51="", S51=""), 0,
    IF(AND(Q51=B51, S51=D51), 10,
      IF(AND(OR(AND(B51&gt;D51, Q51&gt;S51), AND(B51&lt;D51, Q51&lt;S51), AND(B51=D51, Q51=S51)), OR(Q51=B51, S51=D51)), 7,
        IF(OR(AND(B51&gt;D51, Q51&gt;S51), AND(B51&lt;D51, Q51&lt;S51), AND(B51=D51, Q51=S51)), 5,
          IF(OR(Q51=B51, S51=D51), 2, 0)
        )
      )
    )
  )
)</f>
        <v>7</v>
      </c>
      <c r="U51" s="44"/>
      <c r="V51" s="13">
        <v>2</v>
      </c>
      <c r="W51" s="14" t="s">
        <v>17</v>
      </c>
      <c r="X51" s="13">
        <v>0</v>
      </c>
      <c r="Y51" s="17">
        <f t="shared" ref="Y51:Y56" si="87">IF(OR(B51="", D51=""), "-",
  IF(OR(V51="", X51=""), 0,
    IF(AND(V51=B51, X51=D51), 10,
      IF(AND(OR(AND(B51&gt;D51, V51&gt;X51), AND(B51&lt;D51, V51&lt;X51), AND(B51=D51, V51=X51)), OR(V51=B51, X51=D51)), 7,
        IF(OR(AND(B51&gt;D51, V51&gt;X51), AND(B51&lt;D51, V51&lt;X51), AND(B51=D51, V51=X51)), 5,
          IF(OR(V51=B51, X51=D51), 2, 0)
        )
      )
    )
  )
)</f>
        <v>10</v>
      </c>
      <c r="Z51" s="44"/>
      <c r="AA51" s="13">
        <v>3</v>
      </c>
      <c r="AB51" s="14" t="s">
        <v>17</v>
      </c>
      <c r="AC51" s="13">
        <v>0</v>
      </c>
      <c r="AD51" s="17">
        <f t="shared" ref="AD51:AD56" si="88">IF(OR(B51="", D51=""), "-",
  IF(OR(AA51="", AC51=""), 0,
    IF(AND(AA51=B51, AC51=D51), 10,
      IF(AND(OR(AND(B51&gt;D51, AA51&gt;AC51), AND(B51&lt;D51, AA51&lt;AC51), AND(B51=D51, AA51=AC51)), OR(AA51=B51, AC51=D51)), 7,
        IF(OR(AND(B51&gt;D51, AA51&gt;AC51), AND(B51&lt;D51, AA51&lt;AC51), AND(B51=D51, AA51=AC51)), 5,
          IF(OR(AA51=B51, AC51=D51), 2, 0)
        )
      )
    )
  )
)</f>
        <v>7</v>
      </c>
      <c r="AE51" s="44"/>
      <c r="AF51" s="13">
        <v>5</v>
      </c>
      <c r="AG51" s="14" t="s">
        <v>17</v>
      </c>
      <c r="AH51" s="13">
        <v>0</v>
      </c>
      <c r="AI51" s="17">
        <f t="shared" ref="AI51:AI56" si="89">IF(OR(B51="", D51=""), "-",
  IF(OR(AF51="", AH51=""), 0,
    IF(AND(AF51=B51, AH51=D51), 10,
      IF(AND(OR(AND(B51&gt;D51, AF51&gt;AH51), AND(B51&lt;D51, AF51&lt;AH51), AND(B51=D51, AF51=AH51)), OR(AF51=B51, AH51=D51)), 7,
        IF(OR(AND(B51&gt;D51, AF51&gt;AH51), AND(B51&lt;D51, AF51&lt;AH51), AND(B51=D51, AF51=AH51)), 5,
          IF(OR(AF51=B51, AH51=D51), 2, 0)
        )
      )
    )
  )
)</f>
        <v>7</v>
      </c>
      <c r="AJ51" s="44"/>
      <c r="AK51" s="13">
        <v>4</v>
      </c>
      <c r="AL51" s="14" t="s">
        <v>17</v>
      </c>
      <c r="AM51" s="13">
        <v>0</v>
      </c>
      <c r="AN51" s="17">
        <f t="shared" ref="AN51:AN56" si="90">IF(OR(B51="", D51=""), "-",
  IF(OR(AK51="", AM51=""), 0,
    IF(AND(AK51=B51, AM51=D51), 10,
      IF(AND(OR(AND(B51&gt;D51, AK51&gt;AM51), AND(B51&lt;D51, AK51&lt;AM51), AND(B51=D51, AK51=AM51)), OR(AK51=B51, AM51=D51)), 7,
        IF(OR(AND(B51&gt;D51, AK51&gt;AM51), AND(B51&lt;D51, AK51&lt;AM51), AND(B51=D51, AK51=AM51)), 5,
          IF(OR(AK51=B51, AM51=D51), 2, 0)
        )
      )
    )
  )
)</f>
        <v>7</v>
      </c>
      <c r="AO51" s="44"/>
      <c r="AP51" s="13"/>
      <c r="AQ51" s="14" t="s">
        <v>17</v>
      </c>
      <c r="AR51" s="13"/>
      <c r="AS51" s="17">
        <f t="shared" ref="AS51:AS56" si="91">IF(OR(B51="", D51=""), "-",
  IF(OR(AP51="", AR51=""), 0,
    IF(AND(AP51=B51, AR51=D51), 10,
      IF(AND(OR(AND(B51&gt;D51, AP51&gt;AR51), AND(B51&lt;D51, AP51&lt;AR51), AND(B51=D51, AP51=AR51)), OR(AP51=B51, AR51=D51)), 7,
        IF(OR(AND(B51&gt;D51, AP51&gt;AR51), AND(B51&lt;D51, AP51&lt;AR51), AND(B51=D51, AP51=AR51)), 5,
          IF(OR(AP51=B51, AR51=D51), 2, 0)
        )
      )
    )
  )
)</f>
        <v>0</v>
      </c>
      <c r="AT51" s="44"/>
      <c r="AU51" s="13">
        <v>2</v>
      </c>
      <c r="AV51" s="14" t="s">
        <v>17</v>
      </c>
      <c r="AW51" s="13">
        <v>0</v>
      </c>
      <c r="AX51" s="17">
        <f t="shared" ref="AX51:AX56" si="92">IF(OR(B51="", D51=""), "-",
  IF(OR(AU51="", AW51=""), 0,
    IF(AND(AU51=B51, AW51=D51), 10,
      IF(AND(OR(AND(B51&gt;D51, AU51&gt;AW51), AND(B51&lt;D51, AU51&lt;AW51), AND(B51=D51, AU51=AW51)), OR(AU51=B51, AW51=D51)), 7,
        IF(OR(AND(B51&gt;D51, AU51&gt;AW51), AND(B51&lt;D51, AU51&lt;AW51), AND(B51=D51, AU51=AW51)), 5,
          IF(OR(AU51=B51, AW51=D51), 2, 0)
        )
      )
    )
  )
)</f>
        <v>10</v>
      </c>
      <c r="AY51" s="5"/>
      <c r="AZ51" s="13">
        <v>2</v>
      </c>
      <c r="BA51" s="14" t="s">
        <v>17</v>
      </c>
      <c r="BB51" s="13">
        <v>0</v>
      </c>
      <c r="BC51" s="17">
        <f t="shared" ref="BC51:BC56" si="93">IF(OR(B51="", D51=""), "-",
  IF(OR(AZ51="", BB51=""), 0,
    IF(AND(AZ51=B51, BB51=D51), 10,
      IF(AND(OR(AND(B51&gt;D51, AZ51&gt;BB51), AND(B51&lt;D51, AZ51&lt;BB51), AND(B51=D51, AZ51=BB51)), OR(AZ51=B51, BB51=D51)), 7,
        IF(OR(AND(B51&gt;D51, AZ51&gt;BB51), AND(B51&lt;D51, AZ51&lt;BB51), AND(B51=D51, AZ51=BB51)), 5,
          IF(OR(AZ51=B51, BB51=D51), 2, 0)
        )
      )
    )
  )
)</f>
        <v>10</v>
      </c>
      <c r="BD51" s="6"/>
      <c r="BE51" s="13">
        <v>3</v>
      </c>
      <c r="BF51" s="14" t="s">
        <v>17</v>
      </c>
      <c r="BG51" s="13">
        <v>0</v>
      </c>
      <c r="BH51" s="19">
        <f t="shared" ref="BH51:BH56" si="94">IF(OR(B51="", D51=""), "-",
  IF(OR(BE51="", BG51=""), 0,
    IF(AND(BE51=B51, BG51=D51), 10,
      IF(AND(OR(AND(B51&gt;D51, BE51&gt;BG51), AND(B51&lt;D51, BE51&lt;BG51), AND(B51=D51, BE51=BG51)), OR(BE51=B51, BG51=D51)), 7,
        IF(OR(AND(B51&gt;D51, BE51&gt;BG51), AND(B51&lt;D51, BE51&lt;BG51), AND(B51=D51, BE51=BG51)), 5,
          IF(OR(BE51=B51, BG51=D51), 2, 0)
        )
      )
    )
  )
)</f>
        <v>7</v>
      </c>
      <c r="BI51" s="6"/>
      <c r="BJ51" s="13">
        <v>3</v>
      </c>
      <c r="BK51" s="14" t="s">
        <v>17</v>
      </c>
      <c r="BL51" s="13">
        <v>0</v>
      </c>
      <c r="BM51" s="19">
        <f t="shared" ref="BM51:BM56" si="95">IF(OR(B51="", D51=""), "-",
  IF(OR(BJ51="", BL51=""), 0,
    IF(AND(BJ51=B51, BL51=D51), 10,
      IF(AND(OR(AND(B51&gt;D51, BJ51&gt;BL51), AND(B51&lt;D51, BJ51&lt;BL51), AND(B51=D51, BJ51=BL51)), OR(BJ51=B51, BL51=D51)), 7,
        IF(OR(AND(B51&gt;D51, BJ51&gt;BL51), AND(B51&lt;D51, BJ51&lt;BL51), AND(B51=D51, BJ51=BL51)), 5,
          IF(OR(BJ51=B51, BL51=D51), 2, 0)
        )
      )
    )
  )
)</f>
        <v>7</v>
      </c>
      <c r="BN51" s="6"/>
      <c r="BO51" s="13">
        <v>3</v>
      </c>
      <c r="BP51" s="14" t="s">
        <v>17</v>
      </c>
      <c r="BQ51" s="13">
        <v>0</v>
      </c>
      <c r="BR51" s="19">
        <f t="shared" ref="BR51:BR56" si="96">IF(OR(B51="", D51=""), "-",
  IF(OR(BO51="", BQ51=""), 0,
    IF(AND(BO51=B51, BQ51=D51), 10,
      IF(AND(OR(AND(B51&gt;D51, BO51&gt;BQ51), AND(B51&lt;D51, BO51&lt;BQ51), AND(B51=D51, BO51=BQ51)), OR(BO51=B51, BQ51=D51)), 7,
        IF(OR(AND(B51&gt;D51, BO51&gt;BQ51), AND(B51&lt;D51, BO51&lt;BQ51), AND(B51=D51, BO51=BQ51)), 5,
          IF(OR(BO51=B51, BQ51=D51), 2, 0)
        )
      )
    )
  )
)</f>
        <v>7</v>
      </c>
      <c r="BS51" s="6"/>
      <c r="BT51" s="13">
        <v>3</v>
      </c>
      <c r="BU51" s="14" t="s">
        <v>17</v>
      </c>
      <c r="BV51" s="13">
        <v>1</v>
      </c>
      <c r="BW51" s="19">
        <f t="shared" ref="BW51:BW56" si="97">IF(OR(B51="", D51=""), "-",
  IF(OR(BT51="", BV51=""), 0,
    IF(AND(BT51=B51, BV51=D51), 10,
      IF(AND(OR(AND(B51&gt;D51, BT51&gt;BV51), AND(B51&lt;D51, BT51&lt;BV51), AND(B51=D51, BT51=BV51)), OR(BT51=B51, BV51=D51)), 7,
        IF(OR(AND(B51&gt;D51, BT51&gt;BV51), AND(B51&lt;D51, BT51&lt;BV51), AND(B51=D51, BT51=BV51)), 5,
          IF(OR(BT51=B51, BV51=D51), 2, 0)
        )
      )
    )
  )
)</f>
        <v>5</v>
      </c>
      <c r="BX51" s="1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</row>
    <row r="52" spans="1:89" ht="17.399999999999999">
      <c r="A52" s="117" t="s">
        <v>49</v>
      </c>
      <c r="B52" s="118">
        <v>0</v>
      </c>
      <c r="C52" s="119" t="s">
        <v>17</v>
      </c>
      <c r="D52" s="118">
        <v>5</v>
      </c>
      <c r="E52" s="117" t="s">
        <v>50</v>
      </c>
      <c r="F52" s="1"/>
      <c r="G52" s="118">
        <v>1</v>
      </c>
      <c r="H52" s="119" t="s">
        <v>17</v>
      </c>
      <c r="I52" s="118">
        <v>1</v>
      </c>
      <c r="J52" s="120">
        <f t="shared" si="84"/>
        <v>0</v>
      </c>
      <c r="K52" s="44"/>
      <c r="L52" s="118">
        <v>1</v>
      </c>
      <c r="M52" s="119" t="s">
        <v>17</v>
      </c>
      <c r="N52" s="118">
        <v>3</v>
      </c>
      <c r="O52" s="120">
        <f t="shared" si="85"/>
        <v>5</v>
      </c>
      <c r="P52" s="44"/>
      <c r="Q52" s="118">
        <v>1</v>
      </c>
      <c r="R52" s="119" t="s">
        <v>17</v>
      </c>
      <c r="S52" s="118">
        <v>1</v>
      </c>
      <c r="T52" s="120">
        <f t="shared" si="86"/>
        <v>0</v>
      </c>
      <c r="U52" s="44"/>
      <c r="V52" s="118">
        <v>2</v>
      </c>
      <c r="W52" s="119" t="s">
        <v>17</v>
      </c>
      <c r="X52" s="118">
        <v>1</v>
      </c>
      <c r="Y52" s="120">
        <f t="shared" si="87"/>
        <v>0</v>
      </c>
      <c r="Z52" s="44"/>
      <c r="AA52" s="118">
        <v>2</v>
      </c>
      <c r="AB52" s="119" t="s">
        <v>17</v>
      </c>
      <c r="AC52" s="118">
        <v>1</v>
      </c>
      <c r="AD52" s="120">
        <f t="shared" si="88"/>
        <v>0</v>
      </c>
      <c r="AE52" s="44"/>
      <c r="AF52" s="118">
        <v>2</v>
      </c>
      <c r="AG52" s="119" t="s">
        <v>17</v>
      </c>
      <c r="AH52" s="118">
        <v>3</v>
      </c>
      <c r="AI52" s="120">
        <f t="shared" si="89"/>
        <v>5</v>
      </c>
      <c r="AJ52" s="44"/>
      <c r="AK52" s="118">
        <v>1</v>
      </c>
      <c r="AL52" s="119" t="s">
        <v>17</v>
      </c>
      <c r="AM52" s="118">
        <v>2</v>
      </c>
      <c r="AN52" s="120">
        <f t="shared" si="90"/>
        <v>5</v>
      </c>
      <c r="AO52" s="44"/>
      <c r="AP52" s="118"/>
      <c r="AQ52" s="119" t="s">
        <v>17</v>
      </c>
      <c r="AR52" s="118"/>
      <c r="AS52" s="120">
        <f t="shared" si="91"/>
        <v>0</v>
      </c>
      <c r="AT52" s="44"/>
      <c r="AU52" s="118">
        <v>0</v>
      </c>
      <c r="AV52" s="119" t="s">
        <v>17</v>
      </c>
      <c r="AW52" s="118">
        <v>3</v>
      </c>
      <c r="AX52" s="120">
        <f t="shared" si="92"/>
        <v>7</v>
      </c>
      <c r="AY52" s="5"/>
      <c r="AZ52" s="118">
        <v>0</v>
      </c>
      <c r="BA52" s="119" t="s">
        <v>17</v>
      </c>
      <c r="BB52" s="118">
        <v>1</v>
      </c>
      <c r="BC52" s="120">
        <f t="shared" si="93"/>
        <v>7</v>
      </c>
      <c r="BD52" s="6"/>
      <c r="BE52" s="118">
        <v>0</v>
      </c>
      <c r="BF52" s="119" t="s">
        <v>17</v>
      </c>
      <c r="BG52" s="118">
        <v>2</v>
      </c>
      <c r="BH52" s="121">
        <f t="shared" si="94"/>
        <v>7</v>
      </c>
      <c r="BI52" s="6"/>
      <c r="BJ52" s="118">
        <v>0</v>
      </c>
      <c r="BK52" s="119" t="s">
        <v>17</v>
      </c>
      <c r="BL52" s="118">
        <v>4</v>
      </c>
      <c r="BM52" s="121">
        <f t="shared" si="95"/>
        <v>7</v>
      </c>
      <c r="BN52" s="6"/>
      <c r="BO52" s="118">
        <v>0</v>
      </c>
      <c r="BP52" s="119" t="s">
        <v>17</v>
      </c>
      <c r="BQ52" s="118">
        <v>2</v>
      </c>
      <c r="BR52" s="121">
        <f t="shared" si="96"/>
        <v>7</v>
      </c>
      <c r="BS52" s="6"/>
      <c r="BT52" s="118">
        <v>1</v>
      </c>
      <c r="BU52" s="119" t="s">
        <v>17</v>
      </c>
      <c r="BV52" s="118">
        <v>4</v>
      </c>
      <c r="BW52" s="121">
        <f t="shared" si="97"/>
        <v>5</v>
      </c>
      <c r="BX52" s="1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</row>
    <row r="53" spans="1:89" ht="17.399999999999999">
      <c r="A53" s="12" t="s">
        <v>50</v>
      </c>
      <c r="B53" s="13">
        <v>4</v>
      </c>
      <c r="C53" s="14" t="s">
        <v>17</v>
      </c>
      <c r="D53" s="13">
        <v>1</v>
      </c>
      <c r="E53" s="12" t="s">
        <v>48</v>
      </c>
      <c r="F53" s="1"/>
      <c r="G53" s="13">
        <v>3</v>
      </c>
      <c r="H53" s="14" t="s">
        <v>17</v>
      </c>
      <c r="I53" s="13">
        <v>2</v>
      </c>
      <c r="J53" s="17">
        <f t="shared" si="84"/>
        <v>5</v>
      </c>
      <c r="K53" s="44"/>
      <c r="L53" s="13">
        <v>2</v>
      </c>
      <c r="M53" s="14" t="s">
        <v>17</v>
      </c>
      <c r="N53" s="13">
        <v>0</v>
      </c>
      <c r="O53" s="17">
        <f t="shared" si="85"/>
        <v>5</v>
      </c>
      <c r="P53" s="44"/>
      <c r="Q53" s="13">
        <v>2</v>
      </c>
      <c r="R53" s="14" t="s">
        <v>17</v>
      </c>
      <c r="S53" s="13">
        <v>0</v>
      </c>
      <c r="T53" s="17">
        <f t="shared" si="86"/>
        <v>5</v>
      </c>
      <c r="U53" s="44"/>
      <c r="V53" s="13">
        <v>1</v>
      </c>
      <c r="W53" s="14" t="s">
        <v>17</v>
      </c>
      <c r="X53" s="13">
        <v>2</v>
      </c>
      <c r="Y53" s="17">
        <f t="shared" si="87"/>
        <v>0</v>
      </c>
      <c r="Z53" s="44"/>
      <c r="AA53" s="13">
        <v>3</v>
      </c>
      <c r="AB53" s="14" t="s">
        <v>17</v>
      </c>
      <c r="AC53" s="13">
        <v>2</v>
      </c>
      <c r="AD53" s="17">
        <f t="shared" si="88"/>
        <v>5</v>
      </c>
      <c r="AE53" s="44"/>
      <c r="AF53" s="13">
        <v>3</v>
      </c>
      <c r="AG53" s="14" t="s">
        <v>17</v>
      </c>
      <c r="AH53" s="13">
        <v>1</v>
      </c>
      <c r="AI53" s="17">
        <f t="shared" si="89"/>
        <v>7</v>
      </c>
      <c r="AJ53" s="44"/>
      <c r="AK53" s="13">
        <v>3</v>
      </c>
      <c r="AL53" s="14" t="s">
        <v>17</v>
      </c>
      <c r="AM53" s="13">
        <v>1</v>
      </c>
      <c r="AN53" s="17">
        <f t="shared" si="90"/>
        <v>7</v>
      </c>
      <c r="AO53" s="44"/>
      <c r="AP53" s="13"/>
      <c r="AQ53" s="14" t="s">
        <v>17</v>
      </c>
      <c r="AR53" s="13"/>
      <c r="AS53" s="17">
        <f t="shared" si="91"/>
        <v>0</v>
      </c>
      <c r="AT53" s="44"/>
      <c r="AU53" s="13">
        <v>1</v>
      </c>
      <c r="AV53" s="14" t="s">
        <v>17</v>
      </c>
      <c r="AW53" s="13">
        <v>0</v>
      </c>
      <c r="AX53" s="17">
        <f t="shared" si="92"/>
        <v>5</v>
      </c>
      <c r="AY53" s="5"/>
      <c r="AZ53" s="13">
        <v>2</v>
      </c>
      <c r="BA53" s="14" t="s">
        <v>17</v>
      </c>
      <c r="BB53" s="13">
        <v>1</v>
      </c>
      <c r="BC53" s="17">
        <f t="shared" si="93"/>
        <v>7</v>
      </c>
      <c r="BD53" s="6"/>
      <c r="BE53" s="13">
        <v>3</v>
      </c>
      <c r="BF53" s="14" t="s">
        <v>17</v>
      </c>
      <c r="BG53" s="13">
        <v>1</v>
      </c>
      <c r="BH53" s="19">
        <f t="shared" si="94"/>
        <v>7</v>
      </c>
      <c r="BI53" s="6"/>
      <c r="BJ53" s="13">
        <v>5</v>
      </c>
      <c r="BK53" s="14" t="s">
        <v>17</v>
      </c>
      <c r="BL53" s="13">
        <v>0</v>
      </c>
      <c r="BM53" s="19">
        <f t="shared" si="95"/>
        <v>5</v>
      </c>
      <c r="BN53" s="6"/>
      <c r="BO53" s="13">
        <v>3</v>
      </c>
      <c r="BP53" s="14" t="s">
        <v>17</v>
      </c>
      <c r="BQ53" s="13">
        <v>1</v>
      </c>
      <c r="BR53" s="19">
        <f t="shared" si="96"/>
        <v>7</v>
      </c>
      <c r="BS53" s="6"/>
      <c r="BT53" s="13">
        <v>3</v>
      </c>
      <c r="BU53" s="14" t="s">
        <v>17</v>
      </c>
      <c r="BV53" s="13">
        <v>0</v>
      </c>
      <c r="BW53" s="19">
        <f t="shared" si="97"/>
        <v>5</v>
      </c>
      <c r="BX53" s="1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</row>
    <row r="54" spans="1:89" ht="17.399999999999999">
      <c r="A54" s="117" t="s">
        <v>47</v>
      </c>
      <c r="B54" s="118">
        <v>6</v>
      </c>
      <c r="C54" s="119" t="s">
        <v>17</v>
      </c>
      <c r="D54" s="118">
        <v>0</v>
      </c>
      <c r="E54" s="117" t="s">
        <v>49</v>
      </c>
      <c r="F54" s="1"/>
      <c r="G54" s="118">
        <v>0</v>
      </c>
      <c r="H54" s="119" t="s">
        <v>17</v>
      </c>
      <c r="I54" s="118">
        <v>1</v>
      </c>
      <c r="J54" s="120">
        <f t="shared" si="84"/>
        <v>0</v>
      </c>
      <c r="K54" s="44"/>
      <c r="L54" s="118">
        <v>4</v>
      </c>
      <c r="M54" s="119" t="s">
        <v>17</v>
      </c>
      <c r="N54" s="118">
        <v>0</v>
      </c>
      <c r="O54" s="120">
        <f t="shared" si="85"/>
        <v>7</v>
      </c>
      <c r="P54" s="44"/>
      <c r="Q54" s="118">
        <v>4</v>
      </c>
      <c r="R54" s="119" t="s">
        <v>17</v>
      </c>
      <c r="S54" s="118">
        <v>0</v>
      </c>
      <c r="T54" s="120">
        <f t="shared" si="86"/>
        <v>7</v>
      </c>
      <c r="U54" s="44"/>
      <c r="V54" s="118">
        <v>2</v>
      </c>
      <c r="W54" s="119" t="s">
        <v>17</v>
      </c>
      <c r="X54" s="118">
        <v>2</v>
      </c>
      <c r="Y54" s="120">
        <f t="shared" si="87"/>
        <v>0</v>
      </c>
      <c r="Z54" s="44"/>
      <c r="AA54" s="118">
        <v>0</v>
      </c>
      <c r="AB54" s="119" t="s">
        <v>17</v>
      </c>
      <c r="AC54" s="118">
        <v>0</v>
      </c>
      <c r="AD54" s="120">
        <f t="shared" si="88"/>
        <v>2</v>
      </c>
      <c r="AE54" s="44"/>
      <c r="AF54" s="118">
        <v>2</v>
      </c>
      <c r="AG54" s="119" t="s">
        <v>17</v>
      </c>
      <c r="AH54" s="118">
        <v>2</v>
      </c>
      <c r="AI54" s="120">
        <f t="shared" si="89"/>
        <v>0</v>
      </c>
      <c r="AJ54" s="44"/>
      <c r="AK54" s="118">
        <v>5</v>
      </c>
      <c r="AL54" s="119" t="s">
        <v>17</v>
      </c>
      <c r="AM54" s="118">
        <v>0</v>
      </c>
      <c r="AN54" s="120">
        <f t="shared" si="90"/>
        <v>7</v>
      </c>
      <c r="AO54" s="44"/>
      <c r="AP54" s="118"/>
      <c r="AQ54" s="119" t="s">
        <v>17</v>
      </c>
      <c r="AR54" s="118"/>
      <c r="AS54" s="120">
        <f t="shared" si="91"/>
        <v>0</v>
      </c>
      <c r="AT54" s="44"/>
      <c r="AU54" s="118">
        <v>5</v>
      </c>
      <c r="AV54" s="119" t="s">
        <v>17</v>
      </c>
      <c r="AW54" s="118">
        <v>0</v>
      </c>
      <c r="AX54" s="120">
        <f t="shared" si="92"/>
        <v>7</v>
      </c>
      <c r="AY54" s="5"/>
      <c r="AZ54" s="118">
        <v>3</v>
      </c>
      <c r="BA54" s="119" t="s">
        <v>17</v>
      </c>
      <c r="BB54" s="118">
        <v>0</v>
      </c>
      <c r="BC54" s="120">
        <f t="shared" si="93"/>
        <v>7</v>
      </c>
      <c r="BD54" s="6"/>
      <c r="BE54" s="118">
        <v>2</v>
      </c>
      <c r="BF54" s="119" t="s">
        <v>17</v>
      </c>
      <c r="BG54" s="118">
        <v>0</v>
      </c>
      <c r="BH54" s="121">
        <f t="shared" si="94"/>
        <v>7</v>
      </c>
      <c r="BI54" s="6"/>
      <c r="BJ54" s="118">
        <v>3</v>
      </c>
      <c r="BK54" s="119" t="s">
        <v>17</v>
      </c>
      <c r="BL54" s="118">
        <v>0</v>
      </c>
      <c r="BM54" s="121">
        <f t="shared" si="95"/>
        <v>7</v>
      </c>
      <c r="BN54" s="6"/>
      <c r="BO54" s="118">
        <v>4</v>
      </c>
      <c r="BP54" s="119" t="s">
        <v>17</v>
      </c>
      <c r="BQ54" s="118">
        <v>0</v>
      </c>
      <c r="BR54" s="121">
        <f t="shared" si="96"/>
        <v>7</v>
      </c>
      <c r="BS54" s="6"/>
      <c r="BT54" s="118">
        <v>4</v>
      </c>
      <c r="BU54" s="119" t="s">
        <v>17</v>
      </c>
      <c r="BV54" s="118">
        <v>1</v>
      </c>
      <c r="BW54" s="121">
        <f t="shared" si="97"/>
        <v>5</v>
      </c>
      <c r="BX54" s="1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</row>
    <row r="55" spans="1:89" ht="17.399999999999999">
      <c r="A55" s="12" t="s">
        <v>50</v>
      </c>
      <c r="B55" s="13">
        <v>2</v>
      </c>
      <c r="C55" s="14" t="s">
        <v>17</v>
      </c>
      <c r="D55" s="13">
        <v>5</v>
      </c>
      <c r="E55" s="12" t="s">
        <v>47</v>
      </c>
      <c r="F55" s="1"/>
      <c r="G55" s="13">
        <v>2</v>
      </c>
      <c r="H55" s="14" t="s">
        <v>17</v>
      </c>
      <c r="I55" s="13">
        <v>0</v>
      </c>
      <c r="J55" s="17">
        <f t="shared" si="84"/>
        <v>2</v>
      </c>
      <c r="K55" s="44"/>
      <c r="L55" s="13">
        <v>2</v>
      </c>
      <c r="M55" s="14" t="s">
        <v>17</v>
      </c>
      <c r="N55" s="13">
        <v>0</v>
      </c>
      <c r="O55" s="17">
        <f t="shared" si="85"/>
        <v>2</v>
      </c>
      <c r="P55" s="44"/>
      <c r="Q55" s="13">
        <v>0</v>
      </c>
      <c r="R55" s="14" t="s">
        <v>17</v>
      </c>
      <c r="S55" s="13">
        <v>3</v>
      </c>
      <c r="T55" s="17">
        <f t="shared" si="86"/>
        <v>5</v>
      </c>
      <c r="U55" s="44"/>
      <c r="V55" s="13">
        <v>2</v>
      </c>
      <c r="W55" s="14" t="s">
        <v>17</v>
      </c>
      <c r="X55" s="13">
        <v>0</v>
      </c>
      <c r="Y55" s="17">
        <f t="shared" si="87"/>
        <v>2</v>
      </c>
      <c r="Z55" s="44"/>
      <c r="AA55" s="13">
        <v>3</v>
      </c>
      <c r="AB55" s="14" t="s">
        <v>17</v>
      </c>
      <c r="AC55" s="13">
        <v>1</v>
      </c>
      <c r="AD55" s="17">
        <f t="shared" si="88"/>
        <v>0</v>
      </c>
      <c r="AE55" s="44"/>
      <c r="AF55" s="13">
        <v>1</v>
      </c>
      <c r="AG55" s="14" t="s">
        <v>17</v>
      </c>
      <c r="AH55" s="13">
        <v>0</v>
      </c>
      <c r="AI55" s="17">
        <f t="shared" si="89"/>
        <v>0</v>
      </c>
      <c r="AJ55" s="44"/>
      <c r="AK55" s="13">
        <v>3</v>
      </c>
      <c r="AL55" s="14" t="s">
        <v>17</v>
      </c>
      <c r="AM55" s="13">
        <v>2</v>
      </c>
      <c r="AN55" s="17">
        <f t="shared" si="90"/>
        <v>0</v>
      </c>
      <c r="AO55" s="44"/>
      <c r="AP55" s="13"/>
      <c r="AQ55" s="14" t="s">
        <v>17</v>
      </c>
      <c r="AR55" s="13"/>
      <c r="AS55" s="17">
        <f t="shared" si="91"/>
        <v>0</v>
      </c>
      <c r="AT55" s="44"/>
      <c r="AU55" s="13">
        <v>1</v>
      </c>
      <c r="AV55" s="14" t="s">
        <v>17</v>
      </c>
      <c r="AW55" s="13">
        <v>1</v>
      </c>
      <c r="AX55" s="17">
        <f t="shared" si="92"/>
        <v>0</v>
      </c>
      <c r="AY55" s="5"/>
      <c r="AZ55" s="13">
        <v>1</v>
      </c>
      <c r="BA55" s="14" t="s">
        <v>17</v>
      </c>
      <c r="BB55" s="13">
        <v>1</v>
      </c>
      <c r="BC55" s="17">
        <f t="shared" si="93"/>
        <v>0</v>
      </c>
      <c r="BD55" s="6"/>
      <c r="BE55" s="13">
        <v>2</v>
      </c>
      <c r="BF55" s="14" t="s">
        <v>17</v>
      </c>
      <c r="BG55" s="13">
        <v>2</v>
      </c>
      <c r="BH55" s="19">
        <f t="shared" si="94"/>
        <v>2</v>
      </c>
      <c r="BI55" s="6"/>
      <c r="BJ55" s="13">
        <v>1</v>
      </c>
      <c r="BK55" s="14" t="s">
        <v>17</v>
      </c>
      <c r="BL55" s="13">
        <v>2</v>
      </c>
      <c r="BM55" s="19">
        <f t="shared" si="95"/>
        <v>5</v>
      </c>
      <c r="BN55" s="6"/>
      <c r="BO55" s="13">
        <v>1</v>
      </c>
      <c r="BP55" s="14" t="s">
        <v>17</v>
      </c>
      <c r="BQ55" s="13">
        <v>1</v>
      </c>
      <c r="BR55" s="19">
        <f t="shared" si="96"/>
        <v>0</v>
      </c>
      <c r="BS55" s="6"/>
      <c r="BT55" s="13">
        <v>2</v>
      </c>
      <c r="BU55" s="14" t="s">
        <v>17</v>
      </c>
      <c r="BV55" s="13">
        <v>2</v>
      </c>
      <c r="BW55" s="19">
        <f t="shared" si="97"/>
        <v>2</v>
      </c>
      <c r="BX55" s="1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</row>
    <row r="56" spans="1:89" ht="17.399999999999999">
      <c r="A56" s="117" t="s">
        <v>48</v>
      </c>
      <c r="B56" s="118">
        <v>1</v>
      </c>
      <c r="C56" s="119" t="s">
        <v>17</v>
      </c>
      <c r="D56" s="118">
        <v>2</v>
      </c>
      <c r="E56" s="117" t="s">
        <v>49</v>
      </c>
      <c r="F56" s="1"/>
      <c r="G56" s="118">
        <v>0</v>
      </c>
      <c r="H56" s="119" t="s">
        <v>17</v>
      </c>
      <c r="I56" s="118">
        <v>1</v>
      </c>
      <c r="J56" s="120">
        <f t="shared" si="84"/>
        <v>5</v>
      </c>
      <c r="K56" s="44"/>
      <c r="L56" s="118">
        <v>0</v>
      </c>
      <c r="M56" s="119" t="s">
        <v>17</v>
      </c>
      <c r="N56" s="118">
        <v>2</v>
      </c>
      <c r="O56" s="120">
        <f t="shared" si="85"/>
        <v>7</v>
      </c>
      <c r="P56" s="44"/>
      <c r="Q56" s="118">
        <v>1</v>
      </c>
      <c r="R56" s="119" t="s">
        <v>17</v>
      </c>
      <c r="S56" s="118">
        <v>2</v>
      </c>
      <c r="T56" s="120">
        <f t="shared" si="86"/>
        <v>10</v>
      </c>
      <c r="U56" s="44"/>
      <c r="V56" s="118">
        <v>1</v>
      </c>
      <c r="W56" s="119" t="s">
        <v>17</v>
      </c>
      <c r="X56" s="118">
        <v>1</v>
      </c>
      <c r="Y56" s="120">
        <f t="shared" si="87"/>
        <v>2</v>
      </c>
      <c r="Z56" s="44"/>
      <c r="AA56" s="118">
        <v>2</v>
      </c>
      <c r="AB56" s="119" t="s">
        <v>17</v>
      </c>
      <c r="AC56" s="118">
        <v>3</v>
      </c>
      <c r="AD56" s="120">
        <f t="shared" si="88"/>
        <v>5</v>
      </c>
      <c r="AE56" s="44"/>
      <c r="AF56" s="118">
        <v>1</v>
      </c>
      <c r="AG56" s="119" t="s">
        <v>17</v>
      </c>
      <c r="AH56" s="118">
        <v>3</v>
      </c>
      <c r="AI56" s="120">
        <f t="shared" si="89"/>
        <v>7</v>
      </c>
      <c r="AJ56" s="44"/>
      <c r="AK56" s="118">
        <v>1</v>
      </c>
      <c r="AL56" s="119" t="s">
        <v>17</v>
      </c>
      <c r="AM56" s="118">
        <v>1</v>
      </c>
      <c r="AN56" s="120">
        <f t="shared" si="90"/>
        <v>2</v>
      </c>
      <c r="AO56" s="44"/>
      <c r="AP56" s="118"/>
      <c r="AQ56" s="119" t="s">
        <v>17</v>
      </c>
      <c r="AR56" s="118"/>
      <c r="AS56" s="120">
        <f t="shared" si="91"/>
        <v>0</v>
      </c>
      <c r="AT56" s="44"/>
      <c r="AU56" s="118">
        <v>1</v>
      </c>
      <c r="AV56" s="119" t="s">
        <v>17</v>
      </c>
      <c r="AW56" s="118">
        <v>0</v>
      </c>
      <c r="AX56" s="120">
        <f t="shared" si="92"/>
        <v>2</v>
      </c>
      <c r="AY56" s="5"/>
      <c r="AZ56" s="118">
        <v>0</v>
      </c>
      <c r="BA56" s="119" t="s">
        <v>17</v>
      </c>
      <c r="BB56" s="118">
        <v>0</v>
      </c>
      <c r="BC56" s="120">
        <f t="shared" si="93"/>
        <v>0</v>
      </c>
      <c r="BD56" s="6"/>
      <c r="BE56" s="118">
        <v>0</v>
      </c>
      <c r="BF56" s="119" t="s">
        <v>17</v>
      </c>
      <c r="BG56" s="118">
        <v>2</v>
      </c>
      <c r="BH56" s="121">
        <f t="shared" si="94"/>
        <v>7</v>
      </c>
      <c r="BI56" s="6"/>
      <c r="BJ56" s="118">
        <v>1</v>
      </c>
      <c r="BK56" s="119" t="s">
        <v>17</v>
      </c>
      <c r="BL56" s="118">
        <v>1</v>
      </c>
      <c r="BM56" s="121">
        <f t="shared" si="95"/>
        <v>2</v>
      </c>
      <c r="BN56" s="6"/>
      <c r="BO56" s="118">
        <v>2</v>
      </c>
      <c r="BP56" s="119" t="s">
        <v>17</v>
      </c>
      <c r="BQ56" s="118">
        <v>1</v>
      </c>
      <c r="BR56" s="121">
        <f t="shared" si="96"/>
        <v>0</v>
      </c>
      <c r="BS56" s="6"/>
      <c r="BT56" s="118">
        <v>1</v>
      </c>
      <c r="BU56" s="119" t="s">
        <v>17</v>
      </c>
      <c r="BV56" s="118">
        <v>0</v>
      </c>
      <c r="BW56" s="121">
        <f t="shared" si="97"/>
        <v>2</v>
      </c>
      <c r="BX56" s="1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</row>
    <row r="57" spans="1:89" ht="17.399999999999999">
      <c r="A57" s="122"/>
      <c r="B57" s="122"/>
      <c r="C57" s="123"/>
      <c r="D57" s="122"/>
      <c r="E57" s="122"/>
      <c r="F57" s="1"/>
      <c r="G57" s="306">
        <f>SUM(J51:J56)</f>
        <v>22</v>
      </c>
      <c r="H57" s="301"/>
      <c r="I57" s="301"/>
      <c r="J57" s="32"/>
      <c r="K57" s="33"/>
      <c r="L57" s="306">
        <f>SUM(O51:O56)</f>
        <v>33</v>
      </c>
      <c r="M57" s="301"/>
      <c r="N57" s="301"/>
      <c r="O57" s="32"/>
      <c r="P57" s="33"/>
      <c r="Q57" s="306">
        <f>SUM(T51:T56)</f>
        <v>34</v>
      </c>
      <c r="R57" s="301"/>
      <c r="S57" s="301"/>
      <c r="T57" s="32"/>
      <c r="U57" s="33"/>
      <c r="V57" s="306">
        <f>SUM(Y51:Y56)</f>
        <v>14</v>
      </c>
      <c r="W57" s="301"/>
      <c r="X57" s="301"/>
      <c r="Y57" s="32"/>
      <c r="Z57" s="33"/>
      <c r="AA57" s="306">
        <f>SUM(AD51:AD56)</f>
        <v>19</v>
      </c>
      <c r="AB57" s="301"/>
      <c r="AC57" s="301"/>
      <c r="AD57" s="32"/>
      <c r="AE57" s="33"/>
      <c r="AF57" s="306">
        <f>SUM(AI51:AI56)</f>
        <v>26</v>
      </c>
      <c r="AG57" s="301"/>
      <c r="AH57" s="301"/>
      <c r="AI57" s="32"/>
      <c r="AJ57" s="33"/>
      <c r="AK57" s="306">
        <f>SUM(AN51:AN56)</f>
        <v>28</v>
      </c>
      <c r="AL57" s="301"/>
      <c r="AM57" s="301"/>
      <c r="AN57" s="32"/>
      <c r="AO57" s="33"/>
      <c r="AP57" s="306">
        <f>SUM(AS51:AS56)</f>
        <v>0</v>
      </c>
      <c r="AQ57" s="301"/>
      <c r="AR57" s="301"/>
      <c r="AS57" s="34"/>
      <c r="AT57" s="33"/>
      <c r="AU57" s="306">
        <f>SUM(AX51:AX56)</f>
        <v>31</v>
      </c>
      <c r="AV57" s="301"/>
      <c r="AW57" s="301"/>
      <c r="AX57" s="35"/>
      <c r="AY57" s="5"/>
      <c r="AZ57" s="306">
        <f>SUM(BC51:BC56)</f>
        <v>31</v>
      </c>
      <c r="BA57" s="301"/>
      <c r="BB57" s="301"/>
      <c r="BC57" s="35"/>
      <c r="BD57" s="6"/>
      <c r="BE57" s="306">
        <f>SUM(BH51:BH56)</f>
        <v>37</v>
      </c>
      <c r="BF57" s="301"/>
      <c r="BG57" s="301"/>
      <c r="BH57" s="35"/>
      <c r="BI57" s="6"/>
      <c r="BJ57" s="306">
        <f>SUM(BM51:BM56)</f>
        <v>33</v>
      </c>
      <c r="BK57" s="301"/>
      <c r="BL57" s="301"/>
      <c r="BM57" s="35"/>
      <c r="BN57" s="6"/>
      <c r="BO57" s="306">
        <f>SUM(BR51:BR56)</f>
        <v>28</v>
      </c>
      <c r="BP57" s="301"/>
      <c r="BQ57" s="301"/>
      <c r="BR57" s="35"/>
      <c r="BS57" s="6"/>
      <c r="BT57" s="306">
        <f>SUM(BW51:BW56)</f>
        <v>24</v>
      </c>
      <c r="BU57" s="301"/>
      <c r="BV57" s="301"/>
      <c r="BW57" s="35"/>
      <c r="BX57" s="1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</row>
    <row r="58" spans="1:89" ht="17.399999999999999">
      <c r="A58" s="303" t="s">
        <v>51</v>
      </c>
      <c r="B58" s="301"/>
      <c r="C58" s="301"/>
      <c r="D58" s="301"/>
      <c r="E58" s="301"/>
      <c r="F58" s="1"/>
      <c r="G58" s="125"/>
      <c r="H58" s="126"/>
      <c r="I58" s="126"/>
      <c r="J58" s="127"/>
      <c r="K58" s="40"/>
      <c r="L58" s="125"/>
      <c r="M58" s="126"/>
      <c r="N58" s="126"/>
      <c r="O58" s="127"/>
      <c r="P58" s="40"/>
      <c r="Q58" s="125"/>
      <c r="R58" s="126"/>
      <c r="S58" s="126"/>
      <c r="T58" s="127"/>
      <c r="U58" s="40"/>
      <c r="V58" s="125"/>
      <c r="W58" s="126"/>
      <c r="X58" s="126"/>
      <c r="Y58" s="127"/>
      <c r="Z58" s="40"/>
      <c r="AA58" s="125"/>
      <c r="AB58" s="126"/>
      <c r="AC58" s="126"/>
      <c r="AD58" s="127"/>
      <c r="AE58" s="40"/>
      <c r="AF58" s="125"/>
      <c r="AG58" s="126"/>
      <c r="AH58" s="126"/>
      <c r="AI58" s="127"/>
      <c r="AJ58" s="40"/>
      <c r="AK58" s="125"/>
      <c r="AL58" s="126"/>
      <c r="AM58" s="126"/>
      <c r="AN58" s="127"/>
      <c r="AO58" s="40"/>
      <c r="AP58" s="125"/>
      <c r="AQ58" s="126"/>
      <c r="AR58" s="126"/>
      <c r="AS58" s="127"/>
      <c r="AT58" s="34"/>
      <c r="AU58" s="128"/>
      <c r="AV58" s="129"/>
      <c r="AW58" s="129"/>
      <c r="AX58" s="127"/>
      <c r="AY58" s="5"/>
      <c r="AZ58" s="125"/>
      <c r="BA58" s="126"/>
      <c r="BB58" s="126"/>
      <c r="BC58" s="127"/>
      <c r="BD58" s="6"/>
      <c r="BE58" s="125"/>
      <c r="BF58" s="126"/>
      <c r="BG58" s="126"/>
      <c r="BH58" s="130"/>
      <c r="BI58" s="6"/>
      <c r="BJ58" s="125"/>
      <c r="BK58" s="126"/>
      <c r="BL58" s="126"/>
      <c r="BM58" s="130"/>
      <c r="BN58" s="6"/>
      <c r="BO58" s="125"/>
      <c r="BP58" s="126"/>
      <c r="BQ58" s="126"/>
      <c r="BR58" s="130"/>
      <c r="BS58" s="6"/>
      <c r="BT58" s="125"/>
      <c r="BU58" s="126"/>
      <c r="BV58" s="126"/>
      <c r="BW58" s="130"/>
      <c r="BX58" s="1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</row>
    <row r="59" spans="1:89" ht="17.399999999999999">
      <c r="A59" s="12" t="s">
        <v>52</v>
      </c>
      <c r="B59" s="13">
        <v>1</v>
      </c>
      <c r="C59" s="14" t="s">
        <v>17</v>
      </c>
      <c r="D59" s="13">
        <v>1</v>
      </c>
      <c r="E59" s="12" t="s">
        <v>53</v>
      </c>
      <c r="F59" s="1"/>
      <c r="G59" s="13">
        <v>2</v>
      </c>
      <c r="H59" s="14" t="s">
        <v>17</v>
      </c>
      <c r="I59" s="13">
        <v>0</v>
      </c>
      <c r="J59" s="17">
        <f t="shared" ref="J59:J64" si="98">IF(OR(B59="", D59=""), "-",
  IF(OR(G59="", I59=""), 0,
    IF(AND(G59=B59, I59=D59), 10,
      IF(AND(OR(AND(B59&gt;D59, G59&gt;I59), AND(B59&lt;D59, G59&lt;I59), AND(B59=D59, G59=I59)), OR(G59=B59, I59=D59)), 7,
        IF(OR(AND(B59&gt;D59, G59&gt;I59), AND(B59&lt;D59, G59&lt;I59), AND(B59=D59, G59=I59)), 5,
          IF(OR(G59=B59, I59=D59), 2, 0)
        )
      )
    )
  )
)</f>
        <v>0</v>
      </c>
      <c r="K59" s="44"/>
      <c r="L59" s="13">
        <v>3</v>
      </c>
      <c r="M59" s="14" t="s">
        <v>17</v>
      </c>
      <c r="N59" s="13">
        <v>0</v>
      </c>
      <c r="O59" s="17">
        <f t="shared" ref="O59:O64" si="99">IF(OR(B59="", D59=""), "-",
  IF(OR(L59="", N59=""), 0,
    IF(AND(L59=B59, N59=D59), 10,
      IF(AND(OR(AND(B59&gt;D59, L59&gt;N59), AND(B59&lt;D59, L59&lt;N59), AND(B59=D59, L59=N59)), OR(L59=B59, N59=D59)), 7,
        IF(OR(AND(B59&gt;D59, L59&gt;N59), AND(B59&lt;D59, L59&lt;N59), AND(B59=D59, L59=N59)), 5,
          IF(OR(L59=B59, N59=D59), 2, 0)
        )
      )
    )
  )
)</f>
        <v>0</v>
      </c>
      <c r="P59" s="44"/>
      <c r="Q59" s="13">
        <v>4</v>
      </c>
      <c r="R59" s="14" t="s">
        <v>17</v>
      </c>
      <c r="S59" s="13">
        <v>1</v>
      </c>
      <c r="T59" s="17">
        <f t="shared" ref="T59:T64" si="100">IF(OR(B59="", D59=""), "-",
  IF(OR(Q59="", S59=""), 0,
    IF(AND(Q59=B59, S59=D59), 10,
      IF(AND(OR(AND(B59&gt;D59, Q59&gt;S59), AND(B59&lt;D59, Q59&lt;S59), AND(B59=D59, Q59=S59)), OR(Q59=B59, S59=D59)), 7,
        IF(OR(AND(B59&gt;D59, Q59&gt;S59), AND(B59&lt;D59, Q59&lt;S59), AND(B59=D59, Q59=S59)), 5,
          IF(OR(Q59=B59, S59=D59), 2, 0)
        )
      )
    )
  )
)</f>
        <v>2</v>
      </c>
      <c r="U59" s="44"/>
      <c r="V59" s="13">
        <v>5</v>
      </c>
      <c r="W59" s="14" t="s">
        <v>17</v>
      </c>
      <c r="X59" s="13">
        <v>3</v>
      </c>
      <c r="Y59" s="17">
        <f t="shared" ref="Y59:Y64" si="101">IF(OR(B59="", D59=""), "-",
  IF(OR(V59="", X59=""), 0,
    IF(AND(V59=B59, X59=D59), 10,
      IF(AND(OR(AND(B59&gt;D59, V59&gt;X59), AND(B59&lt;D59, V59&lt;X59), AND(B59=D59, V59=X59)), OR(V59=B59, X59=D59)), 7,
        IF(OR(AND(B59&gt;D59, V59&gt;X59), AND(B59&lt;D59, V59&lt;X59), AND(B59=D59, V59=X59)), 5,
          IF(OR(V59=B59, X59=D59), 2, 0)
        )
      )
    )
  )
)</f>
        <v>0</v>
      </c>
      <c r="Z59" s="44"/>
      <c r="AA59" s="13">
        <v>3</v>
      </c>
      <c r="AB59" s="14" t="s">
        <v>17</v>
      </c>
      <c r="AC59" s="13">
        <v>2</v>
      </c>
      <c r="AD59" s="17">
        <f t="shared" ref="AD59:AD64" si="102">IF(OR(B59="", D59=""), "-",
  IF(OR(AA59="", AC59=""), 0,
    IF(AND(AA59=B59, AC59=D59), 10,
      IF(AND(OR(AND(B59&gt;D59, AA59&gt;AC59), AND(B59&lt;D59, AA59&lt;AC59), AND(B59=D59, AA59=AC59)), OR(AA59=B59, AC59=D59)), 7,
        IF(OR(AND(B59&gt;D59, AA59&gt;AC59), AND(B59&lt;D59, AA59&lt;AC59), AND(B59=D59, AA59=AC59)), 5,
          IF(OR(AA59=B59, AC59=D59), 2, 0)
        )
      )
    )
  )
)</f>
        <v>0</v>
      </c>
      <c r="AE59" s="44"/>
      <c r="AF59" s="13">
        <v>2</v>
      </c>
      <c r="AG59" s="14" t="s">
        <v>17</v>
      </c>
      <c r="AH59" s="13">
        <v>1</v>
      </c>
      <c r="AI59" s="17">
        <f t="shared" ref="AI59:AI64" si="103">IF(OR(B59="", D59=""), "-",
  IF(OR(AF59="", AH59=""), 0,
    IF(AND(AF59=B59, AH59=D59), 10,
      IF(AND(OR(AND(B59&gt;D59, AF59&gt;AH59), AND(B59&lt;D59, AF59&lt;AH59), AND(B59=D59, AF59=AH59)), OR(AF59=B59, AH59=D59)), 7,
        IF(OR(AND(B59&gt;D59, AF59&gt;AH59), AND(B59&lt;D59, AF59&lt;AH59), AND(B59=D59, AF59=AH59)), 5,
          IF(OR(AF59=B59, AH59=D59), 2, 0)
        )
      )
    )
  )
)</f>
        <v>2</v>
      </c>
      <c r="AJ59" s="44"/>
      <c r="AK59" s="13">
        <v>3</v>
      </c>
      <c r="AL59" s="14" t="s">
        <v>17</v>
      </c>
      <c r="AM59" s="13">
        <v>0</v>
      </c>
      <c r="AN59" s="17">
        <f t="shared" ref="AN59:AN64" si="104">IF(OR(B59="", D59=""), "-",
  IF(OR(AK59="", AM59=""), 0,
    IF(AND(AK59=B59, AM59=D59), 10,
      IF(AND(OR(AND(B59&gt;D59, AK59&gt;AM59), AND(B59&lt;D59, AK59&lt;AM59), AND(B59=D59, AK59=AM59)), OR(AK59=B59, AM59=D59)), 7,
        IF(OR(AND(B59&gt;D59, AK59&gt;AM59), AND(B59&lt;D59, AK59&lt;AM59), AND(B59=D59, AK59=AM59)), 5,
          IF(OR(AK59=B59, AM59=D59), 2, 0)
        )
      )
    )
  )
)</f>
        <v>0</v>
      </c>
      <c r="AO59" s="44"/>
      <c r="AP59" s="13"/>
      <c r="AQ59" s="14" t="s">
        <v>17</v>
      </c>
      <c r="AR59" s="13"/>
      <c r="AS59" s="17">
        <f t="shared" ref="AS59:AS64" si="105">IF(OR(B59="", D59=""), "-",
  IF(OR(AP59="", AR59=""), 0,
    IF(AND(AP59=B59, AR59=D59), 10,
      IF(AND(OR(AND(B59&gt;D59, AP59&gt;AR59), AND(B59&lt;D59, AP59&lt;AR59), AND(B59=D59, AP59=AR59)), OR(AP59=B59, AR59=D59)), 7,
        IF(OR(AND(B59&gt;D59, AP59&gt;AR59), AND(B59&lt;D59, AP59&lt;AR59), AND(B59=D59, AP59=AR59)), 5,
          IF(OR(AP59=B59, AR59=D59), 2, 0)
        )
      )
    )
  )
)</f>
        <v>0</v>
      </c>
      <c r="AT59" s="44"/>
      <c r="AU59" s="13">
        <v>2</v>
      </c>
      <c r="AV59" s="14" t="s">
        <v>17</v>
      </c>
      <c r="AW59" s="13">
        <v>0</v>
      </c>
      <c r="AX59" s="17">
        <f t="shared" ref="AX59:AX64" si="106">IF(OR(B59="", D59=""), "-",
  IF(OR(AU59="", AW59=""), 0,
    IF(AND(AU59=B59, AW59=D59), 10,
      IF(AND(OR(AND(B59&gt;D59, AU59&gt;AW59), AND(B59&lt;D59, AU59&lt;AW59), AND(B59=D59, AU59=AW59)), OR(AU59=B59, AW59=D59)), 7,
        IF(OR(AND(B59&gt;D59, AU59&gt;AW59), AND(B59&lt;D59, AU59&lt;AW59), AND(B59=D59, AU59=AW59)), 5,
          IF(OR(AU59=B59, AW59=D59), 2, 0)
        )
      )
    )
  )
)</f>
        <v>0</v>
      </c>
      <c r="AY59" s="5"/>
      <c r="AZ59" s="13">
        <v>3</v>
      </c>
      <c r="BA59" s="14" t="s">
        <v>17</v>
      </c>
      <c r="BB59" s="13">
        <v>0</v>
      </c>
      <c r="BC59" s="17">
        <f t="shared" ref="BC59:BC64" si="107">IF(OR(B59="", D59=""), "-",
  IF(OR(AZ59="", BB59=""), 0,
    IF(AND(AZ59=B59, BB59=D59), 10,
      IF(AND(OR(AND(B59&gt;D59, AZ59&gt;BB59), AND(B59&lt;D59, AZ59&lt;BB59), AND(B59=D59, AZ59=BB59)), OR(AZ59=B59, BB59=D59)), 7,
        IF(OR(AND(B59&gt;D59, AZ59&gt;BB59), AND(B59&lt;D59, AZ59&lt;BB59), AND(B59=D59, AZ59=BB59)), 5,
          IF(OR(AZ59=B59, BB59=D59), 2, 0)
        )
      )
    )
  )
)</f>
        <v>0</v>
      </c>
      <c r="BD59" s="6"/>
      <c r="BE59" s="13">
        <v>3</v>
      </c>
      <c r="BF59" s="14" t="s">
        <v>17</v>
      </c>
      <c r="BG59" s="13">
        <v>0</v>
      </c>
      <c r="BH59" s="19">
        <f t="shared" ref="BH59:BH64" si="108">IF(OR(B59="", D59=""), "-",
  IF(OR(BE59="", BG59=""), 0,
    IF(AND(BE59=B59, BG59=D59), 10,
      IF(AND(OR(AND(B59&gt;D59, BE59&gt;BG59), AND(B59&lt;D59, BE59&lt;BG59), AND(B59=D59, BE59=BG59)), OR(BE59=B59, BG59=D59)), 7,
        IF(OR(AND(B59&gt;D59, BE59&gt;BG59), AND(B59&lt;D59, BE59&lt;BG59), AND(B59=D59, BE59=BG59)), 5,
          IF(OR(BE59=B59, BG59=D59), 2, 0)
        )
      )
    )
  )
)</f>
        <v>0</v>
      </c>
      <c r="BI59" s="6"/>
      <c r="BJ59" s="13">
        <v>4</v>
      </c>
      <c r="BK59" s="14" t="s">
        <v>17</v>
      </c>
      <c r="BL59" s="13">
        <v>0</v>
      </c>
      <c r="BM59" s="19">
        <f t="shared" ref="BM59:BM64" si="109">IF(OR(B59="", D59=""), "-",
  IF(OR(BJ59="", BL59=""), 0,
    IF(AND(BJ59=B59, BL59=D59), 10,
      IF(AND(OR(AND(B59&gt;D59, BJ59&gt;BL59), AND(B59&lt;D59, BJ59&lt;BL59), AND(B59=D59, BJ59=BL59)), OR(BJ59=B59, BL59=D59)), 7,
        IF(OR(AND(B59&gt;D59, BJ59&gt;BL59), AND(B59&lt;D59, BJ59&lt;BL59), AND(B59=D59, BJ59=BL59)), 5,
          IF(OR(BJ59=B59, BL59=D59), 2, 0)
        )
      )
    )
  )
)</f>
        <v>0</v>
      </c>
      <c r="BN59" s="6"/>
      <c r="BO59" s="13">
        <v>2</v>
      </c>
      <c r="BP59" s="14" t="s">
        <v>17</v>
      </c>
      <c r="BQ59" s="13">
        <v>0</v>
      </c>
      <c r="BR59" s="19">
        <f t="shared" ref="BR59:BR64" si="110">IF(OR(B59="", D59=""), "-",
  IF(OR(BO59="", BQ59=""), 0,
    IF(AND(BO59=B59, BQ59=D59), 10,
      IF(AND(OR(AND(B59&gt;D59, BO59&gt;BQ59), AND(B59&lt;D59, BO59&lt;BQ59), AND(B59=D59, BO59=BQ59)), OR(BO59=B59, BQ59=D59)), 7,
        IF(OR(AND(B59&gt;D59, BO59&gt;BQ59), AND(B59&lt;D59, BO59&lt;BQ59), AND(B59=D59, BO59=BQ59)), 5,
          IF(OR(BO59=B59, BQ59=D59), 2, 0)
        )
      )
    )
  )
)</f>
        <v>0</v>
      </c>
      <c r="BS59" s="6"/>
      <c r="BT59" s="13">
        <v>3</v>
      </c>
      <c r="BU59" s="14" t="s">
        <v>17</v>
      </c>
      <c r="BV59" s="13">
        <v>0</v>
      </c>
      <c r="BW59" s="19">
        <f t="shared" ref="BW59:BW64" si="111">IF(OR(B59="", D59=""), "-",
  IF(OR(BT59="", BV59=""), 0,
    IF(AND(BT59=B59, BV59=D59), 10,
      IF(AND(OR(AND(B59&gt;D59, BT59&gt;BV59), AND(B59&lt;D59, BT59&lt;BV59), AND(B59=D59, BT59=BV59)), OR(BT59=B59, BV59=D59)), 7,
        IF(OR(AND(B59&gt;D59, BT59&gt;BV59), AND(B59&lt;D59, BT59&lt;BV59), AND(B59=D59, BT59=BV59)), 5,
          IF(OR(BT59=B59, BV59=D59), 2, 0)
        )
      )
    )
  )
)</f>
        <v>0</v>
      </c>
      <c r="BX59" s="1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</row>
    <row r="60" spans="1:89" ht="17.399999999999999">
      <c r="A60" s="131" t="s">
        <v>54</v>
      </c>
      <c r="B60" s="132">
        <v>1</v>
      </c>
      <c r="C60" s="133" t="s">
        <v>17</v>
      </c>
      <c r="D60" s="132">
        <v>2</v>
      </c>
      <c r="E60" s="131" t="s">
        <v>55</v>
      </c>
      <c r="F60" s="1"/>
      <c r="G60" s="132">
        <v>1</v>
      </c>
      <c r="H60" s="133" t="s">
        <v>17</v>
      </c>
      <c r="I60" s="132">
        <v>1</v>
      </c>
      <c r="J60" s="134">
        <f t="shared" si="98"/>
        <v>2</v>
      </c>
      <c r="K60" s="44"/>
      <c r="L60" s="132">
        <v>1</v>
      </c>
      <c r="M60" s="133" t="s">
        <v>17</v>
      </c>
      <c r="N60" s="132">
        <v>2</v>
      </c>
      <c r="O60" s="134">
        <f t="shared" si="99"/>
        <v>10</v>
      </c>
      <c r="P60" s="44"/>
      <c r="Q60" s="132">
        <v>1</v>
      </c>
      <c r="R60" s="133" t="s">
        <v>17</v>
      </c>
      <c r="S60" s="132">
        <v>2</v>
      </c>
      <c r="T60" s="134">
        <f t="shared" si="100"/>
        <v>10</v>
      </c>
      <c r="U60" s="44"/>
      <c r="V60" s="132">
        <v>3</v>
      </c>
      <c r="W60" s="133" t="s">
        <v>17</v>
      </c>
      <c r="X60" s="132">
        <v>2</v>
      </c>
      <c r="Y60" s="134">
        <f t="shared" si="101"/>
        <v>2</v>
      </c>
      <c r="Z60" s="44"/>
      <c r="AA60" s="132">
        <v>2</v>
      </c>
      <c r="AB60" s="133" t="s">
        <v>17</v>
      </c>
      <c r="AC60" s="132">
        <v>0</v>
      </c>
      <c r="AD60" s="134">
        <f t="shared" si="102"/>
        <v>0</v>
      </c>
      <c r="AE60" s="44"/>
      <c r="AF60" s="132">
        <v>2</v>
      </c>
      <c r="AG60" s="133" t="s">
        <v>17</v>
      </c>
      <c r="AH60" s="132">
        <v>2</v>
      </c>
      <c r="AI60" s="134">
        <f t="shared" si="103"/>
        <v>2</v>
      </c>
      <c r="AJ60" s="44"/>
      <c r="AK60" s="132">
        <v>1</v>
      </c>
      <c r="AL60" s="133" t="s">
        <v>17</v>
      </c>
      <c r="AM60" s="132">
        <v>2</v>
      </c>
      <c r="AN60" s="134">
        <f t="shared" si="104"/>
        <v>10</v>
      </c>
      <c r="AO60" s="44"/>
      <c r="AP60" s="132"/>
      <c r="AQ60" s="133" t="s">
        <v>17</v>
      </c>
      <c r="AR60" s="132"/>
      <c r="AS60" s="134">
        <f t="shared" si="105"/>
        <v>0</v>
      </c>
      <c r="AT60" s="44"/>
      <c r="AU60" s="132">
        <v>1</v>
      </c>
      <c r="AV60" s="133" t="s">
        <v>17</v>
      </c>
      <c r="AW60" s="132">
        <v>0</v>
      </c>
      <c r="AX60" s="134">
        <f t="shared" si="106"/>
        <v>2</v>
      </c>
      <c r="AY60" s="5"/>
      <c r="AZ60" s="132">
        <v>0</v>
      </c>
      <c r="BA60" s="133" t="s">
        <v>17</v>
      </c>
      <c r="BB60" s="132">
        <v>0</v>
      </c>
      <c r="BC60" s="134">
        <f t="shared" si="107"/>
        <v>0</v>
      </c>
      <c r="BD60" s="6"/>
      <c r="BE60" s="132">
        <v>0</v>
      </c>
      <c r="BF60" s="133" t="s">
        <v>17</v>
      </c>
      <c r="BG60" s="132">
        <v>1</v>
      </c>
      <c r="BH60" s="135">
        <f t="shared" si="108"/>
        <v>5</v>
      </c>
      <c r="BI60" s="6"/>
      <c r="BJ60" s="132">
        <v>2</v>
      </c>
      <c r="BK60" s="133" t="s">
        <v>17</v>
      </c>
      <c r="BL60" s="132">
        <v>2</v>
      </c>
      <c r="BM60" s="135">
        <f t="shared" si="109"/>
        <v>2</v>
      </c>
      <c r="BN60" s="6"/>
      <c r="BO60" s="132">
        <v>1</v>
      </c>
      <c r="BP60" s="133" t="s">
        <v>17</v>
      </c>
      <c r="BQ60" s="132">
        <v>3</v>
      </c>
      <c r="BR60" s="135">
        <f t="shared" si="110"/>
        <v>7</v>
      </c>
      <c r="BS60" s="6"/>
      <c r="BT60" s="132">
        <v>1</v>
      </c>
      <c r="BU60" s="133" t="s">
        <v>17</v>
      </c>
      <c r="BV60" s="132">
        <v>1</v>
      </c>
      <c r="BW60" s="135">
        <f t="shared" si="111"/>
        <v>2</v>
      </c>
      <c r="BX60" s="1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</row>
    <row r="61" spans="1:89" ht="17.399999999999999">
      <c r="A61" s="12" t="s">
        <v>52</v>
      </c>
      <c r="B61" s="13">
        <v>3</v>
      </c>
      <c r="C61" s="14" t="s">
        <v>17</v>
      </c>
      <c r="D61" s="13">
        <v>1</v>
      </c>
      <c r="E61" s="12" t="s">
        <v>54</v>
      </c>
      <c r="F61" s="1"/>
      <c r="G61" s="13">
        <v>3</v>
      </c>
      <c r="H61" s="14" t="s">
        <v>17</v>
      </c>
      <c r="I61" s="13">
        <v>0</v>
      </c>
      <c r="J61" s="17">
        <f t="shared" si="98"/>
        <v>7</v>
      </c>
      <c r="K61" s="44"/>
      <c r="L61" s="13">
        <v>2</v>
      </c>
      <c r="M61" s="14" t="s">
        <v>17</v>
      </c>
      <c r="N61" s="13">
        <v>0</v>
      </c>
      <c r="O61" s="17">
        <f t="shared" si="99"/>
        <v>5</v>
      </c>
      <c r="P61" s="44"/>
      <c r="Q61" s="13">
        <v>3</v>
      </c>
      <c r="R61" s="14" t="s">
        <v>17</v>
      </c>
      <c r="S61" s="13">
        <v>0</v>
      </c>
      <c r="T61" s="17">
        <f t="shared" si="100"/>
        <v>7</v>
      </c>
      <c r="U61" s="44"/>
      <c r="V61" s="13">
        <v>3</v>
      </c>
      <c r="W61" s="14" t="s">
        <v>17</v>
      </c>
      <c r="X61" s="13">
        <v>0</v>
      </c>
      <c r="Y61" s="17">
        <f t="shared" si="101"/>
        <v>7</v>
      </c>
      <c r="Z61" s="44"/>
      <c r="AA61" s="13">
        <v>3</v>
      </c>
      <c r="AB61" s="14" t="s">
        <v>17</v>
      </c>
      <c r="AC61" s="13">
        <v>1</v>
      </c>
      <c r="AD61" s="17">
        <f t="shared" si="102"/>
        <v>10</v>
      </c>
      <c r="AE61" s="44"/>
      <c r="AF61" s="13">
        <v>3</v>
      </c>
      <c r="AG61" s="14" t="s">
        <v>17</v>
      </c>
      <c r="AH61" s="13">
        <v>0</v>
      </c>
      <c r="AI61" s="17">
        <f t="shared" si="103"/>
        <v>7</v>
      </c>
      <c r="AJ61" s="44"/>
      <c r="AK61" s="13">
        <v>3</v>
      </c>
      <c r="AL61" s="14" t="s">
        <v>17</v>
      </c>
      <c r="AM61" s="13">
        <v>0</v>
      </c>
      <c r="AN61" s="17">
        <f t="shared" si="104"/>
        <v>7</v>
      </c>
      <c r="AO61" s="44"/>
      <c r="AP61" s="13"/>
      <c r="AQ61" s="14" t="s">
        <v>17</v>
      </c>
      <c r="AR61" s="13"/>
      <c r="AS61" s="17">
        <f t="shared" si="105"/>
        <v>0</v>
      </c>
      <c r="AT61" s="44"/>
      <c r="AU61" s="13">
        <v>2</v>
      </c>
      <c r="AV61" s="14" t="s">
        <v>17</v>
      </c>
      <c r="AW61" s="13">
        <v>0</v>
      </c>
      <c r="AX61" s="17">
        <f t="shared" si="106"/>
        <v>5</v>
      </c>
      <c r="AY61" s="5"/>
      <c r="AZ61" s="13">
        <v>1</v>
      </c>
      <c r="BA61" s="14" t="s">
        <v>17</v>
      </c>
      <c r="BB61" s="13">
        <v>0</v>
      </c>
      <c r="BC61" s="17">
        <f t="shared" si="107"/>
        <v>5</v>
      </c>
      <c r="BD61" s="6"/>
      <c r="BE61" s="13">
        <v>3</v>
      </c>
      <c r="BF61" s="14" t="s">
        <v>17</v>
      </c>
      <c r="BG61" s="13">
        <v>0</v>
      </c>
      <c r="BH61" s="19">
        <f t="shared" si="108"/>
        <v>7</v>
      </c>
      <c r="BI61" s="6"/>
      <c r="BJ61" s="13">
        <v>3</v>
      </c>
      <c r="BK61" s="14" t="s">
        <v>17</v>
      </c>
      <c r="BL61" s="13">
        <v>0</v>
      </c>
      <c r="BM61" s="19">
        <f t="shared" si="109"/>
        <v>7</v>
      </c>
      <c r="BN61" s="6"/>
      <c r="BO61" s="13">
        <v>3</v>
      </c>
      <c r="BP61" s="14" t="s">
        <v>17</v>
      </c>
      <c r="BQ61" s="13">
        <v>0</v>
      </c>
      <c r="BR61" s="19">
        <f t="shared" si="110"/>
        <v>7</v>
      </c>
      <c r="BS61" s="6"/>
      <c r="BT61" s="13">
        <v>3</v>
      </c>
      <c r="BU61" s="14" t="s">
        <v>17</v>
      </c>
      <c r="BV61" s="13">
        <v>1</v>
      </c>
      <c r="BW61" s="19">
        <f t="shared" si="111"/>
        <v>10</v>
      </c>
      <c r="BX61" s="1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</row>
    <row r="62" spans="1:89" ht="17.399999999999999">
      <c r="A62" s="131" t="s">
        <v>55</v>
      </c>
      <c r="B62" s="132">
        <v>0</v>
      </c>
      <c r="C62" s="133" t="s">
        <v>17</v>
      </c>
      <c r="D62" s="132">
        <v>0</v>
      </c>
      <c r="E62" s="131" t="s">
        <v>53</v>
      </c>
      <c r="F62" s="1"/>
      <c r="G62" s="132">
        <v>2</v>
      </c>
      <c r="H62" s="133" t="s">
        <v>17</v>
      </c>
      <c r="I62" s="132">
        <v>1</v>
      </c>
      <c r="J62" s="134">
        <f t="shared" si="98"/>
        <v>0</v>
      </c>
      <c r="K62" s="44"/>
      <c r="L62" s="132">
        <v>2</v>
      </c>
      <c r="M62" s="133" t="s">
        <v>17</v>
      </c>
      <c r="N62" s="132">
        <v>2</v>
      </c>
      <c r="O62" s="134">
        <f t="shared" si="99"/>
        <v>5</v>
      </c>
      <c r="P62" s="44"/>
      <c r="Q62" s="132">
        <v>1</v>
      </c>
      <c r="R62" s="133" t="s">
        <v>17</v>
      </c>
      <c r="S62" s="132">
        <v>3</v>
      </c>
      <c r="T62" s="134">
        <f t="shared" si="100"/>
        <v>0</v>
      </c>
      <c r="U62" s="44"/>
      <c r="V62" s="132">
        <v>1</v>
      </c>
      <c r="W62" s="133" t="s">
        <v>17</v>
      </c>
      <c r="X62" s="132">
        <v>2</v>
      </c>
      <c r="Y62" s="134">
        <f t="shared" si="101"/>
        <v>0</v>
      </c>
      <c r="Z62" s="44"/>
      <c r="AA62" s="132">
        <v>0</v>
      </c>
      <c r="AB62" s="133" t="s">
        <v>17</v>
      </c>
      <c r="AC62" s="132">
        <v>3</v>
      </c>
      <c r="AD62" s="134">
        <f t="shared" si="102"/>
        <v>2</v>
      </c>
      <c r="AE62" s="44"/>
      <c r="AF62" s="132">
        <v>0</v>
      </c>
      <c r="AG62" s="133" t="s">
        <v>17</v>
      </c>
      <c r="AH62" s="132">
        <v>1</v>
      </c>
      <c r="AI62" s="134">
        <f t="shared" si="103"/>
        <v>2</v>
      </c>
      <c r="AJ62" s="44"/>
      <c r="AK62" s="132">
        <v>2</v>
      </c>
      <c r="AL62" s="133" t="s">
        <v>17</v>
      </c>
      <c r="AM62" s="132">
        <v>2</v>
      </c>
      <c r="AN62" s="134">
        <f t="shared" si="104"/>
        <v>5</v>
      </c>
      <c r="AO62" s="44"/>
      <c r="AP62" s="132"/>
      <c r="AQ62" s="133" t="s">
        <v>17</v>
      </c>
      <c r="AR62" s="132"/>
      <c r="AS62" s="134">
        <f t="shared" si="105"/>
        <v>0</v>
      </c>
      <c r="AT62" s="44"/>
      <c r="AU62" s="132">
        <v>1</v>
      </c>
      <c r="AV62" s="133" t="s">
        <v>17</v>
      </c>
      <c r="AW62" s="132">
        <v>0</v>
      </c>
      <c r="AX62" s="134">
        <f t="shared" si="106"/>
        <v>2</v>
      </c>
      <c r="AY62" s="5"/>
      <c r="AZ62" s="132">
        <v>2</v>
      </c>
      <c r="BA62" s="133" t="s">
        <v>17</v>
      </c>
      <c r="BB62" s="132">
        <v>1</v>
      </c>
      <c r="BC62" s="134">
        <f t="shared" si="107"/>
        <v>0</v>
      </c>
      <c r="BD62" s="6"/>
      <c r="BE62" s="132">
        <v>0</v>
      </c>
      <c r="BF62" s="133" t="s">
        <v>17</v>
      </c>
      <c r="BG62" s="132">
        <v>0</v>
      </c>
      <c r="BH62" s="135">
        <f t="shared" si="108"/>
        <v>10</v>
      </c>
      <c r="BI62" s="6"/>
      <c r="BJ62" s="132">
        <v>0</v>
      </c>
      <c r="BK62" s="133" t="s">
        <v>17</v>
      </c>
      <c r="BL62" s="132">
        <v>1</v>
      </c>
      <c r="BM62" s="135">
        <f t="shared" si="109"/>
        <v>2</v>
      </c>
      <c r="BN62" s="6"/>
      <c r="BO62" s="132">
        <v>1</v>
      </c>
      <c r="BP62" s="133" t="s">
        <v>17</v>
      </c>
      <c r="BQ62" s="132">
        <v>1</v>
      </c>
      <c r="BR62" s="135">
        <f t="shared" si="110"/>
        <v>5</v>
      </c>
      <c r="BS62" s="6"/>
      <c r="BT62" s="132">
        <v>1</v>
      </c>
      <c r="BU62" s="133" t="s">
        <v>17</v>
      </c>
      <c r="BV62" s="132">
        <v>1</v>
      </c>
      <c r="BW62" s="135">
        <f t="shared" si="111"/>
        <v>5</v>
      </c>
      <c r="BX62" s="1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</row>
    <row r="63" spans="1:89" ht="17.399999999999999">
      <c r="A63" s="12" t="s">
        <v>55</v>
      </c>
      <c r="B63" s="13">
        <v>0</v>
      </c>
      <c r="C63" s="14" t="s">
        <v>17</v>
      </c>
      <c r="D63" s="13">
        <v>3</v>
      </c>
      <c r="E63" s="12" t="s">
        <v>52</v>
      </c>
      <c r="F63" s="1"/>
      <c r="G63" s="13">
        <v>0</v>
      </c>
      <c r="H63" s="14" t="s">
        <v>17</v>
      </c>
      <c r="I63" s="13">
        <v>3</v>
      </c>
      <c r="J63" s="17">
        <f t="shared" si="98"/>
        <v>10</v>
      </c>
      <c r="K63" s="44"/>
      <c r="L63" s="13">
        <v>1</v>
      </c>
      <c r="M63" s="14" t="s">
        <v>17</v>
      </c>
      <c r="N63" s="13">
        <v>3</v>
      </c>
      <c r="O63" s="17">
        <f t="shared" si="99"/>
        <v>7</v>
      </c>
      <c r="P63" s="44"/>
      <c r="Q63" s="13">
        <v>0</v>
      </c>
      <c r="R63" s="14" t="s">
        <v>17</v>
      </c>
      <c r="S63" s="13">
        <v>2</v>
      </c>
      <c r="T63" s="17">
        <f t="shared" si="100"/>
        <v>7</v>
      </c>
      <c r="U63" s="44"/>
      <c r="V63" s="13">
        <v>1</v>
      </c>
      <c r="W63" s="14" t="s">
        <v>17</v>
      </c>
      <c r="X63" s="13">
        <v>3</v>
      </c>
      <c r="Y63" s="17">
        <f t="shared" si="101"/>
        <v>7</v>
      </c>
      <c r="Z63" s="44"/>
      <c r="AA63" s="13">
        <v>1</v>
      </c>
      <c r="AB63" s="14" t="s">
        <v>17</v>
      </c>
      <c r="AC63" s="13">
        <v>2</v>
      </c>
      <c r="AD63" s="17">
        <f t="shared" si="102"/>
        <v>5</v>
      </c>
      <c r="AE63" s="44"/>
      <c r="AF63" s="13">
        <v>1</v>
      </c>
      <c r="AG63" s="14" t="s">
        <v>17</v>
      </c>
      <c r="AH63" s="13">
        <v>2</v>
      </c>
      <c r="AI63" s="17">
        <f t="shared" si="103"/>
        <v>5</v>
      </c>
      <c r="AJ63" s="44"/>
      <c r="AK63" s="13">
        <v>0</v>
      </c>
      <c r="AL63" s="14" t="s">
        <v>17</v>
      </c>
      <c r="AM63" s="13">
        <v>1</v>
      </c>
      <c r="AN63" s="17">
        <f t="shared" si="104"/>
        <v>7</v>
      </c>
      <c r="AO63" s="44"/>
      <c r="AP63" s="13"/>
      <c r="AQ63" s="14" t="s">
        <v>17</v>
      </c>
      <c r="AR63" s="13"/>
      <c r="AS63" s="17">
        <f t="shared" si="105"/>
        <v>0</v>
      </c>
      <c r="AT63" s="44"/>
      <c r="AU63" s="13">
        <v>0</v>
      </c>
      <c r="AV63" s="14" t="s">
        <v>17</v>
      </c>
      <c r="AW63" s="13">
        <v>3</v>
      </c>
      <c r="AX63" s="17">
        <f t="shared" si="106"/>
        <v>10</v>
      </c>
      <c r="AY63" s="5"/>
      <c r="AZ63" s="13">
        <v>1</v>
      </c>
      <c r="BA63" s="14" t="s">
        <v>17</v>
      </c>
      <c r="BB63" s="13">
        <v>1</v>
      </c>
      <c r="BC63" s="17">
        <f t="shared" si="107"/>
        <v>0</v>
      </c>
      <c r="BD63" s="6"/>
      <c r="BE63" s="13">
        <v>1</v>
      </c>
      <c r="BF63" s="14" t="s">
        <v>17</v>
      </c>
      <c r="BG63" s="13">
        <v>3</v>
      </c>
      <c r="BH63" s="19">
        <f t="shared" si="108"/>
        <v>7</v>
      </c>
      <c r="BI63" s="6"/>
      <c r="BJ63" s="13">
        <v>0</v>
      </c>
      <c r="BK63" s="14" t="s">
        <v>17</v>
      </c>
      <c r="BL63" s="13">
        <v>4</v>
      </c>
      <c r="BM63" s="19">
        <f t="shared" si="109"/>
        <v>7</v>
      </c>
      <c r="BN63" s="6"/>
      <c r="BO63" s="13">
        <v>1</v>
      </c>
      <c r="BP63" s="14" t="s">
        <v>17</v>
      </c>
      <c r="BQ63" s="13">
        <v>1</v>
      </c>
      <c r="BR63" s="19">
        <f t="shared" si="110"/>
        <v>0</v>
      </c>
      <c r="BS63" s="6"/>
      <c r="BT63" s="13">
        <v>0</v>
      </c>
      <c r="BU63" s="14" t="s">
        <v>17</v>
      </c>
      <c r="BV63" s="13">
        <v>2</v>
      </c>
      <c r="BW63" s="19">
        <f t="shared" si="111"/>
        <v>7</v>
      </c>
      <c r="BX63" s="1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</row>
    <row r="64" spans="1:89" ht="17.399999999999999">
      <c r="A64" s="131" t="s">
        <v>53</v>
      </c>
      <c r="B64" s="132">
        <v>2</v>
      </c>
      <c r="C64" s="133" t="s">
        <v>17</v>
      </c>
      <c r="D64" s="132">
        <v>0</v>
      </c>
      <c r="E64" s="131" t="s">
        <v>54</v>
      </c>
      <c r="F64" s="1"/>
      <c r="G64" s="132">
        <v>1</v>
      </c>
      <c r="H64" s="133" t="s">
        <v>17</v>
      </c>
      <c r="I64" s="132">
        <v>2</v>
      </c>
      <c r="J64" s="134">
        <f t="shared" si="98"/>
        <v>0</v>
      </c>
      <c r="K64" s="44"/>
      <c r="L64" s="132">
        <v>2</v>
      </c>
      <c r="M64" s="133" t="s">
        <v>17</v>
      </c>
      <c r="N64" s="132">
        <v>1</v>
      </c>
      <c r="O64" s="134">
        <f t="shared" si="99"/>
        <v>7</v>
      </c>
      <c r="P64" s="44"/>
      <c r="Q64" s="132">
        <v>2</v>
      </c>
      <c r="R64" s="133" t="s">
        <v>17</v>
      </c>
      <c r="S64" s="132">
        <v>1</v>
      </c>
      <c r="T64" s="134">
        <f t="shared" si="100"/>
        <v>7</v>
      </c>
      <c r="U64" s="44"/>
      <c r="V64" s="132">
        <v>2</v>
      </c>
      <c r="W64" s="133" t="s">
        <v>17</v>
      </c>
      <c r="X64" s="132">
        <v>2</v>
      </c>
      <c r="Y64" s="134">
        <f t="shared" si="101"/>
        <v>2</v>
      </c>
      <c r="Z64" s="44"/>
      <c r="AA64" s="132">
        <v>2</v>
      </c>
      <c r="AB64" s="133" t="s">
        <v>17</v>
      </c>
      <c r="AC64" s="132">
        <v>1</v>
      </c>
      <c r="AD64" s="134">
        <f t="shared" si="102"/>
        <v>7</v>
      </c>
      <c r="AE64" s="44"/>
      <c r="AF64" s="132">
        <v>1</v>
      </c>
      <c r="AG64" s="133" t="s">
        <v>17</v>
      </c>
      <c r="AH64" s="132">
        <v>3</v>
      </c>
      <c r="AI64" s="134">
        <f t="shared" si="103"/>
        <v>0</v>
      </c>
      <c r="AJ64" s="44"/>
      <c r="AK64" s="132">
        <v>1</v>
      </c>
      <c r="AL64" s="133" t="s">
        <v>17</v>
      </c>
      <c r="AM64" s="132">
        <v>1</v>
      </c>
      <c r="AN64" s="134">
        <f t="shared" si="104"/>
        <v>0</v>
      </c>
      <c r="AO64" s="44"/>
      <c r="AP64" s="132"/>
      <c r="AQ64" s="133" t="s">
        <v>17</v>
      </c>
      <c r="AR64" s="132"/>
      <c r="AS64" s="134">
        <f t="shared" si="105"/>
        <v>0</v>
      </c>
      <c r="AT64" s="44"/>
      <c r="AU64" s="132">
        <v>1</v>
      </c>
      <c r="AV64" s="133" t="s">
        <v>17</v>
      </c>
      <c r="AW64" s="132">
        <v>1</v>
      </c>
      <c r="AX64" s="134">
        <f t="shared" si="106"/>
        <v>0</v>
      </c>
      <c r="AY64" s="5"/>
      <c r="AZ64" s="132">
        <v>0</v>
      </c>
      <c r="BA64" s="133" t="s">
        <v>17</v>
      </c>
      <c r="BB64" s="132">
        <v>0</v>
      </c>
      <c r="BC64" s="134">
        <f t="shared" si="107"/>
        <v>2</v>
      </c>
      <c r="BD64" s="6"/>
      <c r="BE64" s="132">
        <v>1</v>
      </c>
      <c r="BF64" s="133" t="s">
        <v>17</v>
      </c>
      <c r="BG64" s="132">
        <v>0</v>
      </c>
      <c r="BH64" s="135">
        <f t="shared" si="108"/>
        <v>7</v>
      </c>
      <c r="BI64" s="6"/>
      <c r="BJ64" s="132">
        <v>1</v>
      </c>
      <c r="BK64" s="133" t="s">
        <v>17</v>
      </c>
      <c r="BL64" s="132">
        <v>0</v>
      </c>
      <c r="BM64" s="135">
        <f t="shared" si="109"/>
        <v>7</v>
      </c>
      <c r="BN64" s="6"/>
      <c r="BO64" s="132">
        <v>2</v>
      </c>
      <c r="BP64" s="133" t="s">
        <v>17</v>
      </c>
      <c r="BQ64" s="132">
        <v>1</v>
      </c>
      <c r="BR64" s="135">
        <f t="shared" si="110"/>
        <v>7</v>
      </c>
      <c r="BS64" s="6"/>
      <c r="BT64" s="132">
        <v>2</v>
      </c>
      <c r="BU64" s="133" t="s">
        <v>17</v>
      </c>
      <c r="BV64" s="132">
        <v>1</v>
      </c>
      <c r="BW64" s="135">
        <f t="shared" si="111"/>
        <v>7</v>
      </c>
      <c r="BX64" s="1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</row>
    <row r="65" spans="1:89" ht="17.399999999999999">
      <c r="A65" s="136"/>
      <c r="B65" s="136"/>
      <c r="C65" s="137"/>
      <c r="D65" s="136"/>
      <c r="E65" s="136"/>
      <c r="F65" s="1"/>
      <c r="G65" s="304">
        <f>SUM(J59:J64)</f>
        <v>19</v>
      </c>
      <c r="H65" s="301"/>
      <c r="I65" s="301"/>
      <c r="J65" s="32" t="str">
        <f>TEXT(SUM(G67)/480,"0%")</f>
        <v>32%</v>
      </c>
      <c r="K65" s="33"/>
      <c r="L65" s="304">
        <f>SUM(O59:O64)</f>
        <v>34</v>
      </c>
      <c r="M65" s="301"/>
      <c r="N65" s="301"/>
      <c r="O65" s="32" t="str">
        <f>TEXT(SUM(L67)/480,"0%")</f>
        <v>49%</v>
      </c>
      <c r="P65" s="33"/>
      <c r="Q65" s="304">
        <f>SUM(T59:T64)</f>
        <v>33</v>
      </c>
      <c r="R65" s="301"/>
      <c r="S65" s="301"/>
      <c r="T65" s="32" t="str">
        <f>TEXT(SUM(Q67)/480,"0%")</f>
        <v>48%</v>
      </c>
      <c r="U65" s="33"/>
      <c r="V65" s="304">
        <f>SUM(Y59:Y64)</f>
        <v>18</v>
      </c>
      <c r="W65" s="301"/>
      <c r="X65" s="301"/>
      <c r="Y65" s="32" t="str">
        <f>TEXT(SUM(V67)/480,"0%")</f>
        <v>33%</v>
      </c>
      <c r="Z65" s="33"/>
      <c r="AA65" s="304">
        <f>SUM(AD59:AD64)</f>
        <v>24</v>
      </c>
      <c r="AB65" s="301"/>
      <c r="AC65" s="301"/>
      <c r="AD65" s="138" t="str">
        <f>TEXT(SUM(AA67)/480,"0%")</f>
        <v>36%</v>
      </c>
      <c r="AE65" s="33"/>
      <c r="AF65" s="304">
        <f>SUM(AI59:AI64)</f>
        <v>18</v>
      </c>
      <c r="AG65" s="301"/>
      <c r="AH65" s="301"/>
      <c r="AI65" s="32" t="str">
        <f>TEXT(SUM(AF67)/480,"0%")</f>
        <v>35%</v>
      </c>
      <c r="AJ65" s="33"/>
      <c r="AK65" s="304">
        <f>SUM(AN59:AN64)</f>
        <v>29</v>
      </c>
      <c r="AL65" s="301"/>
      <c r="AM65" s="301"/>
      <c r="AN65" s="32" t="str">
        <f>TEXT(SUM(AK67)/480,"0%")</f>
        <v>44%</v>
      </c>
      <c r="AO65" s="33"/>
      <c r="AP65" s="304">
        <f>SUM(AS59:AS64)</f>
        <v>0</v>
      </c>
      <c r="AQ65" s="301"/>
      <c r="AR65" s="301"/>
      <c r="AS65" s="32" t="str">
        <f>TEXT(SUM(AP67)/480,"0%")</f>
        <v>0%</v>
      </c>
      <c r="AT65" s="33"/>
      <c r="AU65" s="304">
        <f>SUM(AX59:AX64)</f>
        <v>19</v>
      </c>
      <c r="AV65" s="301"/>
      <c r="AW65" s="301"/>
      <c r="AX65" s="32" t="str">
        <f>TEXT(SUM(AU67)/480,"0%")</f>
        <v>43%</v>
      </c>
      <c r="AY65" s="5"/>
      <c r="AZ65" s="304">
        <f>SUM(BC59:BC64)</f>
        <v>7</v>
      </c>
      <c r="BA65" s="301"/>
      <c r="BB65" s="301"/>
      <c r="BC65" s="32" t="str">
        <f>TEXT(SUM(AZ67)/480,"0%")</f>
        <v>39%</v>
      </c>
      <c r="BD65" s="6"/>
      <c r="BE65" s="304">
        <f>SUM(BH59:BH64)</f>
        <v>36</v>
      </c>
      <c r="BF65" s="301"/>
      <c r="BG65" s="301"/>
      <c r="BH65" s="35" t="str">
        <f>TEXT(SUM(BE67)/480,"0%")</f>
        <v>46%</v>
      </c>
      <c r="BI65" s="6"/>
      <c r="BJ65" s="304">
        <f>SUM(BM59:BM64)</f>
        <v>25</v>
      </c>
      <c r="BK65" s="301"/>
      <c r="BL65" s="301"/>
      <c r="BM65" s="35" t="str">
        <f>TEXT(SUM(BJ67)/480,"0%")</f>
        <v>43%</v>
      </c>
      <c r="BN65" s="6"/>
      <c r="BO65" s="304">
        <f>SUM(BR59:BR64)</f>
        <v>26</v>
      </c>
      <c r="BP65" s="301"/>
      <c r="BQ65" s="301"/>
      <c r="BR65" s="35" t="str">
        <f>TEXT(SUM(BO67)/480,"0%")</f>
        <v>48%</v>
      </c>
      <c r="BS65" s="6"/>
      <c r="BT65" s="304">
        <f>SUM(BW59:BW64)</f>
        <v>31</v>
      </c>
      <c r="BU65" s="301"/>
      <c r="BV65" s="301"/>
      <c r="BW65" s="35" t="str">
        <f>TEXT(SUM(BT67)/480,"0%")</f>
        <v>36%</v>
      </c>
      <c r="BX65" s="1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</row>
    <row r="66" spans="1:89" ht="9.75" customHeight="1">
      <c r="A66" s="139"/>
      <c r="B66" s="139"/>
      <c r="C66" s="140"/>
      <c r="D66" s="139"/>
      <c r="E66" s="139"/>
      <c r="F66" s="139"/>
      <c r="G66" s="139"/>
      <c r="H66" s="139"/>
      <c r="I66" s="139"/>
      <c r="J66" s="141"/>
      <c r="K66" s="139"/>
      <c r="L66" s="139"/>
      <c r="M66" s="139"/>
      <c r="N66" s="139"/>
      <c r="O66" s="141"/>
      <c r="P66" s="139"/>
      <c r="Q66" s="139"/>
      <c r="R66" s="139"/>
      <c r="S66" s="139"/>
      <c r="T66" s="141"/>
      <c r="U66" s="139"/>
      <c r="V66" s="139"/>
      <c r="W66" s="139"/>
      <c r="X66" s="139"/>
      <c r="Y66" s="141"/>
      <c r="Z66" s="139"/>
      <c r="AA66" s="139"/>
      <c r="AB66" s="139"/>
      <c r="AC66" s="139"/>
      <c r="AD66" s="141"/>
      <c r="AE66" s="139"/>
      <c r="AF66" s="142"/>
      <c r="AG66" s="139"/>
      <c r="AH66" s="139"/>
      <c r="AI66" s="139"/>
      <c r="AJ66" s="139"/>
      <c r="AK66" s="139"/>
      <c r="AL66" s="139"/>
      <c r="AM66" s="139"/>
      <c r="AN66" s="139"/>
      <c r="AO66" s="139"/>
      <c r="AP66" s="139"/>
      <c r="AQ66" s="139"/>
      <c r="AR66" s="139"/>
      <c r="AS66" s="139"/>
      <c r="AT66" s="139"/>
      <c r="AU66" s="139"/>
      <c r="AV66" s="140"/>
      <c r="AW66" s="139"/>
      <c r="AX66" s="139"/>
      <c r="AY66" s="139"/>
      <c r="AZ66" s="139"/>
      <c r="BA66" s="140"/>
      <c r="BB66" s="139"/>
      <c r="BC66" s="139"/>
      <c r="BD66" s="139"/>
      <c r="BE66" s="139"/>
      <c r="BF66" s="140"/>
      <c r="BG66" s="139"/>
      <c r="BH66" s="139"/>
      <c r="BI66" s="139"/>
      <c r="BJ66" s="139"/>
      <c r="BK66" s="140"/>
      <c r="BL66" s="139"/>
      <c r="BM66" s="139"/>
      <c r="BN66" s="139"/>
      <c r="BO66" s="139"/>
      <c r="BP66" s="140"/>
      <c r="BQ66" s="139"/>
      <c r="BR66" s="139"/>
      <c r="BS66" s="139"/>
      <c r="BT66" s="139"/>
      <c r="BU66" s="140"/>
      <c r="BV66" s="139"/>
      <c r="BW66" s="139"/>
      <c r="BX66" s="139"/>
      <c r="BY66" s="143"/>
      <c r="BZ66" s="143"/>
      <c r="CA66" s="143"/>
      <c r="CB66" s="143"/>
      <c r="CC66" s="143"/>
      <c r="CD66" s="143"/>
      <c r="CE66" s="143"/>
      <c r="CF66" s="143"/>
      <c r="CG66" s="143"/>
      <c r="CH66" s="143"/>
      <c r="CI66" s="143"/>
      <c r="CJ66" s="143"/>
      <c r="CK66" s="143"/>
    </row>
    <row r="67" spans="1:89" ht="17.399999999999999">
      <c r="A67" s="300" t="s">
        <v>56</v>
      </c>
      <c r="B67" s="301"/>
      <c r="C67" s="301"/>
      <c r="D67" s="301"/>
      <c r="E67" s="301"/>
      <c r="F67" s="139"/>
      <c r="G67" s="300">
        <f>SUM(G9,G17,G25,G33,G41,G49,G57,G65)</f>
        <v>153</v>
      </c>
      <c r="H67" s="301"/>
      <c r="I67" s="302"/>
      <c r="J67" s="144" t="str">
        <f>AN67</f>
        <v>Pts.</v>
      </c>
      <c r="K67" s="145"/>
      <c r="L67" s="300">
        <f>SUM(L9,L17,L25,L33,L41,L49,L57,L65)</f>
        <v>233</v>
      </c>
      <c r="M67" s="301"/>
      <c r="N67" s="302"/>
      <c r="O67" s="144" t="str">
        <f>AS67</f>
        <v>Pts.</v>
      </c>
      <c r="P67" s="145"/>
      <c r="Q67" s="300">
        <f>SUM(Q9,Q17,Q25,Q33,Q41,Q49,Q57,Q65)</f>
        <v>232</v>
      </c>
      <c r="R67" s="301"/>
      <c r="S67" s="302"/>
      <c r="T67" s="144" t="str">
        <f>AX67</f>
        <v>Pts.</v>
      </c>
      <c r="U67" s="145"/>
      <c r="V67" s="300">
        <f>SUM(V9,V17,V25,V33,V41,V49,V57,V65)</f>
        <v>160</v>
      </c>
      <c r="W67" s="301"/>
      <c r="X67" s="302"/>
      <c r="Y67" s="144" t="str">
        <f>BC67</f>
        <v>Pts.</v>
      </c>
      <c r="Z67" s="145"/>
      <c r="AA67" s="300">
        <f>SUM(AA9,AA17,AA25,AA33,AA41,AA49,AA57,AA65)</f>
        <v>174</v>
      </c>
      <c r="AB67" s="301"/>
      <c r="AC67" s="302"/>
      <c r="AD67" s="144" t="str">
        <f>BH67</f>
        <v>Pts.</v>
      </c>
      <c r="AE67" s="145"/>
      <c r="AF67" s="300">
        <f>SUM(AF9,AF17,AF25,AF33,AF41,AF49,AF57,AF65)</f>
        <v>167</v>
      </c>
      <c r="AG67" s="301"/>
      <c r="AH67" s="302"/>
      <c r="AI67" s="144" t="str">
        <f>BW67</f>
        <v>Pts.</v>
      </c>
      <c r="AJ67" s="146"/>
      <c r="AK67" s="300">
        <f>SUM(AK9,AK17,AK25,AK33,AK41,AK49,AK57,AK65)</f>
        <v>212</v>
      </c>
      <c r="AL67" s="301"/>
      <c r="AM67" s="302"/>
      <c r="AN67" s="144" t="str">
        <f>BW67</f>
        <v>Pts.</v>
      </c>
      <c r="AO67" s="146"/>
      <c r="AP67" s="300">
        <f>SUM(AP9,AP17,AP25,AP33,AP41,AP49,AP57,AP65)</f>
        <v>0</v>
      </c>
      <c r="AQ67" s="301"/>
      <c r="AR67" s="302"/>
      <c r="AS67" s="144" t="str">
        <f>BW67</f>
        <v>Pts.</v>
      </c>
      <c r="AT67" s="146"/>
      <c r="AU67" s="300">
        <f>SUM(AU9,AU17,AU25,AU33,AU41,AU49,AU57,AU65)</f>
        <v>204</v>
      </c>
      <c r="AV67" s="301"/>
      <c r="AW67" s="302"/>
      <c r="AX67" s="144" t="str">
        <f>BW67</f>
        <v>Pts.</v>
      </c>
      <c r="AY67" s="147"/>
      <c r="AZ67" s="300">
        <f>SUM(AZ9,AZ17,AZ25,AZ33,AZ41,AZ49,AZ57,AZ65)</f>
        <v>187</v>
      </c>
      <c r="BA67" s="301"/>
      <c r="BB67" s="302"/>
      <c r="BC67" s="144" t="str">
        <f>BW67</f>
        <v>Pts.</v>
      </c>
      <c r="BD67" s="148"/>
      <c r="BE67" s="317">
        <f>SUM(BE9,BE17,BE25,BE33,BE41,BE49,BE57,BE65)</f>
        <v>219</v>
      </c>
      <c r="BF67" s="301"/>
      <c r="BG67" s="302"/>
      <c r="BH67" s="144" t="str">
        <f>BW67</f>
        <v>Pts.</v>
      </c>
      <c r="BI67" s="148"/>
      <c r="BJ67" s="317">
        <f>SUM(BJ9,BJ17,BJ25,BJ33,BJ41,BJ49,BJ57,BJ65)</f>
        <v>208</v>
      </c>
      <c r="BK67" s="301"/>
      <c r="BL67" s="302"/>
      <c r="BM67" s="144" t="str">
        <f>BW67</f>
        <v>Pts.</v>
      </c>
      <c r="BN67" s="148"/>
      <c r="BO67" s="317">
        <f>SUM(BO9,BO17,BO25,BO33,BO41,BO49,BO57,BO65)</f>
        <v>232</v>
      </c>
      <c r="BP67" s="301"/>
      <c r="BQ67" s="302"/>
      <c r="BR67" s="144" t="str">
        <f>BW67</f>
        <v>Pts.</v>
      </c>
      <c r="BS67" s="148"/>
      <c r="BT67" s="317">
        <f>SUM(BT9,BT17,BT25,BT33,BT41,BT49,BT57,BT65)</f>
        <v>171</v>
      </c>
      <c r="BU67" s="301"/>
      <c r="BV67" s="302"/>
      <c r="BW67" s="144" t="s">
        <v>14</v>
      </c>
      <c r="BX67" s="1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</row>
    <row r="68" spans="1:89" ht="9.75" customHeight="1">
      <c r="A68" s="139"/>
      <c r="B68" s="139"/>
      <c r="C68" s="140"/>
      <c r="D68" s="139"/>
      <c r="E68" s="139"/>
      <c r="F68" s="139"/>
      <c r="G68" s="149"/>
      <c r="H68" s="149"/>
      <c r="I68" s="149"/>
      <c r="J68" s="150"/>
      <c r="K68" s="149"/>
      <c r="L68" s="149"/>
      <c r="M68" s="149"/>
      <c r="N68" s="149"/>
      <c r="O68" s="150"/>
      <c r="P68" s="149"/>
      <c r="Q68" s="149"/>
      <c r="R68" s="149"/>
      <c r="S68" s="149"/>
      <c r="T68" s="150"/>
      <c r="U68" s="149"/>
      <c r="V68" s="149"/>
      <c r="W68" s="149"/>
      <c r="X68" s="149"/>
      <c r="Y68" s="150"/>
      <c r="Z68" s="149"/>
      <c r="AA68" s="149"/>
      <c r="AB68" s="149"/>
      <c r="AC68" s="149"/>
      <c r="AD68" s="150"/>
      <c r="AE68" s="149"/>
      <c r="AF68" s="151"/>
      <c r="AG68" s="149"/>
      <c r="AH68" s="149"/>
      <c r="AI68" s="149"/>
      <c r="AJ68" s="139"/>
      <c r="AK68" s="139"/>
      <c r="AL68" s="139"/>
      <c r="AM68" s="139"/>
      <c r="AN68" s="139"/>
      <c r="AO68" s="139"/>
      <c r="AP68" s="139"/>
      <c r="AQ68" s="139"/>
      <c r="AR68" s="139"/>
      <c r="AS68" s="139"/>
      <c r="AT68" s="139"/>
      <c r="AU68" s="139"/>
      <c r="AV68" s="140"/>
      <c r="AW68" s="139"/>
      <c r="AX68" s="139"/>
      <c r="AY68" s="139"/>
      <c r="AZ68" s="139"/>
      <c r="BA68" s="152"/>
      <c r="BB68" s="40"/>
      <c r="BC68" s="40"/>
      <c r="BD68" s="40"/>
      <c r="BE68" s="40"/>
      <c r="BF68" s="152"/>
      <c r="BG68" s="40"/>
      <c r="BH68" s="40"/>
      <c r="BI68" s="40"/>
      <c r="BJ68" s="40"/>
      <c r="BK68" s="152"/>
      <c r="BL68" s="40"/>
      <c r="BM68" s="40"/>
      <c r="BN68" s="40"/>
      <c r="BO68" s="40"/>
      <c r="BP68" s="152"/>
      <c r="BQ68" s="40"/>
      <c r="BR68" s="40"/>
      <c r="BS68" s="40"/>
      <c r="BT68" s="40"/>
      <c r="BU68" s="152"/>
      <c r="BV68" s="40"/>
      <c r="BW68" s="40"/>
      <c r="BX68" s="1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</row>
    <row r="69" spans="1:89" ht="17.399999999999999">
      <c r="A69" s="313" t="s">
        <v>57</v>
      </c>
      <c r="B69" s="301"/>
      <c r="C69" s="301"/>
      <c r="D69" s="301"/>
      <c r="E69" s="301"/>
      <c r="F69" s="153"/>
      <c r="G69" s="314" t="s">
        <v>58</v>
      </c>
      <c r="H69" s="301"/>
      <c r="I69" s="301"/>
      <c r="J69" s="301"/>
      <c r="K69" s="301"/>
      <c r="L69" s="301"/>
      <c r="M69" s="301"/>
      <c r="N69" s="301"/>
      <c r="O69" s="301"/>
      <c r="P69" s="301"/>
      <c r="Q69" s="301"/>
      <c r="R69" s="301"/>
      <c r="S69" s="301"/>
      <c r="T69" s="301"/>
      <c r="U69" s="301"/>
      <c r="AI69" s="143"/>
      <c r="AJ69" s="143"/>
      <c r="AK69" s="143"/>
      <c r="AL69" s="143"/>
      <c r="AM69" s="143"/>
      <c r="AN69" s="143"/>
      <c r="AO69" s="143"/>
      <c r="AP69" s="143"/>
      <c r="AQ69" s="143"/>
      <c r="AR69" s="143"/>
      <c r="AS69" s="143"/>
      <c r="AT69" s="143"/>
      <c r="AU69" s="143"/>
      <c r="AV69" s="143"/>
      <c r="AW69" s="143"/>
      <c r="AX69" s="143"/>
      <c r="AY69" s="143"/>
      <c r="AZ69" s="154"/>
      <c r="BA69" s="154"/>
      <c r="BB69" s="154"/>
      <c r="BC69" s="154"/>
      <c r="BD69" s="154"/>
      <c r="BE69" s="154"/>
      <c r="BF69" s="154"/>
      <c r="BG69" s="154"/>
      <c r="BH69" s="154"/>
      <c r="BI69" s="154"/>
      <c r="BJ69" s="154"/>
      <c r="BK69" s="154"/>
      <c r="BL69" s="154"/>
      <c r="BM69" s="154"/>
      <c r="BN69" s="154"/>
      <c r="BO69" s="154"/>
      <c r="BP69" s="154"/>
      <c r="BQ69" s="154"/>
      <c r="BR69" s="154"/>
      <c r="BS69" s="154"/>
      <c r="BT69" s="154"/>
      <c r="BU69" s="154"/>
      <c r="BV69" s="154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</row>
    <row r="70" spans="1:89" ht="17.399999999999999">
      <c r="A70" s="155" t="s">
        <v>59</v>
      </c>
      <c r="B70" s="315" t="s">
        <v>60</v>
      </c>
      <c r="C70" s="301"/>
      <c r="D70" s="301"/>
      <c r="E70" s="155" t="s">
        <v>61</v>
      </c>
      <c r="F70" s="156"/>
      <c r="G70" s="311" t="s">
        <v>62</v>
      </c>
      <c r="H70" s="301"/>
      <c r="I70" s="301"/>
      <c r="J70" s="301"/>
      <c r="K70" s="301"/>
      <c r="L70" s="301"/>
      <c r="M70" s="301"/>
      <c r="N70" s="301"/>
      <c r="O70" s="301"/>
      <c r="P70" s="301"/>
      <c r="Q70" s="301"/>
      <c r="R70" s="301"/>
      <c r="S70" s="301"/>
      <c r="T70" s="312" t="s">
        <v>63</v>
      </c>
      <c r="U70" s="301"/>
      <c r="AI70" s="157"/>
      <c r="AJ70" s="158"/>
      <c r="AQ70" s="157"/>
      <c r="AR70" s="157"/>
      <c r="AS70" s="159"/>
      <c r="AT70" s="159"/>
      <c r="AU70" s="159"/>
      <c r="AV70" s="159"/>
      <c r="AW70" s="159"/>
      <c r="AX70" s="159"/>
      <c r="AY70" s="159"/>
      <c r="AZ70" s="158"/>
      <c r="BA70" s="154"/>
      <c r="BB70" s="159"/>
      <c r="BC70" s="159"/>
      <c r="BD70" s="159"/>
      <c r="BE70" s="159"/>
      <c r="BF70" s="159"/>
      <c r="BG70" s="159"/>
      <c r="BH70" s="159"/>
      <c r="BI70" s="154"/>
      <c r="BJ70" s="154"/>
      <c r="BK70" s="154"/>
      <c r="BL70" s="154"/>
      <c r="BM70" s="154"/>
      <c r="BN70" s="160"/>
      <c r="BO70" s="154"/>
      <c r="BP70" s="154"/>
      <c r="BQ70" s="154"/>
      <c r="BR70" s="154"/>
      <c r="BS70" s="154"/>
      <c r="BT70" s="154"/>
      <c r="BU70" s="154"/>
      <c r="BV70" s="154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</row>
    <row r="71" spans="1:89" ht="17.399999999999999">
      <c r="A71" s="161" t="s">
        <v>13</v>
      </c>
      <c r="B71" s="308">
        <f>BT67</f>
        <v>171</v>
      </c>
      <c r="C71" s="301"/>
      <c r="D71" s="301"/>
      <c r="E71" s="161" t="str">
        <f t="shared" ref="E71:E84" si="112">IF(B71=0, "0", RANK(B71, $B$71:$B$84, FALSE) &amp; "º")</f>
        <v>10º</v>
      </c>
      <c r="F71" s="156"/>
      <c r="G71" s="309" t="s">
        <v>64</v>
      </c>
      <c r="H71" s="301"/>
      <c r="I71" s="301"/>
      <c r="J71" s="301"/>
      <c r="K71" s="301"/>
      <c r="L71" s="301"/>
      <c r="M71" s="301"/>
      <c r="N71" s="301"/>
      <c r="O71" s="301"/>
      <c r="P71" s="301"/>
      <c r="Q71" s="301"/>
      <c r="R71" s="301"/>
      <c r="S71" s="301"/>
      <c r="T71" s="310" t="s">
        <v>65</v>
      </c>
      <c r="U71" s="301"/>
      <c r="AI71" s="157"/>
      <c r="AJ71" s="158"/>
      <c r="AQ71" s="157"/>
      <c r="AR71" s="157"/>
      <c r="AS71" s="159"/>
      <c r="AT71" s="159"/>
      <c r="AU71" s="159"/>
      <c r="AV71" s="159"/>
      <c r="AW71" s="159"/>
      <c r="AX71" s="159"/>
      <c r="AY71" s="159"/>
      <c r="AZ71" s="158"/>
      <c r="BA71" s="154"/>
      <c r="BB71" s="159"/>
      <c r="BC71" s="159"/>
      <c r="BD71" s="159"/>
      <c r="BE71" s="159"/>
      <c r="BF71" s="159"/>
      <c r="BG71" s="159"/>
      <c r="BH71" s="159"/>
      <c r="BI71" s="154"/>
      <c r="BJ71" s="154"/>
      <c r="BK71" s="154"/>
      <c r="BL71" s="154"/>
      <c r="BM71" s="154"/>
      <c r="BN71" s="160"/>
      <c r="BO71" s="154"/>
      <c r="BP71" s="154"/>
      <c r="BQ71" s="154"/>
      <c r="BR71" s="154"/>
      <c r="BS71" s="154"/>
      <c r="BT71" s="154"/>
      <c r="BU71" s="154"/>
      <c r="BV71" s="154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</row>
    <row r="72" spans="1:89" ht="17.399999999999999">
      <c r="A72" s="162" t="s">
        <v>12</v>
      </c>
      <c r="B72" s="307">
        <f>BO67</f>
        <v>232</v>
      </c>
      <c r="C72" s="301"/>
      <c r="D72" s="301"/>
      <c r="E72" s="162" t="str">
        <f t="shared" si="112"/>
        <v>2º</v>
      </c>
      <c r="F72" s="156"/>
      <c r="G72" s="311" t="s">
        <v>66</v>
      </c>
      <c r="H72" s="301"/>
      <c r="I72" s="301"/>
      <c r="J72" s="301"/>
      <c r="K72" s="301"/>
      <c r="L72" s="301"/>
      <c r="M72" s="301"/>
      <c r="N72" s="301"/>
      <c r="O72" s="301"/>
      <c r="P72" s="301"/>
      <c r="Q72" s="301"/>
      <c r="R72" s="301"/>
      <c r="S72" s="301"/>
      <c r="T72" s="312" t="s">
        <v>67</v>
      </c>
      <c r="U72" s="301"/>
      <c r="AI72" s="157"/>
      <c r="AJ72" s="163"/>
      <c r="AQ72" s="158"/>
      <c r="AR72" s="159"/>
      <c r="AS72" s="159"/>
      <c r="AT72" s="159"/>
      <c r="AU72" s="159"/>
      <c r="AV72" s="159"/>
      <c r="AW72" s="159"/>
      <c r="AX72" s="159"/>
      <c r="AY72" s="159"/>
      <c r="AZ72" s="158"/>
      <c r="BA72" s="154"/>
      <c r="BB72" s="159"/>
      <c r="BC72" s="159"/>
      <c r="BD72" s="159"/>
      <c r="BE72" s="159"/>
      <c r="BF72" s="159"/>
      <c r="BG72" s="159"/>
      <c r="BH72" s="159"/>
      <c r="BI72" s="154"/>
      <c r="BJ72" s="154"/>
      <c r="BK72" s="154"/>
      <c r="BL72" s="154"/>
      <c r="BM72" s="154"/>
      <c r="BN72" s="160"/>
      <c r="BO72" s="154"/>
      <c r="BP72" s="154"/>
      <c r="BQ72" s="154"/>
      <c r="BR72" s="154"/>
      <c r="BS72" s="154"/>
      <c r="BT72" s="154"/>
      <c r="BU72" s="154"/>
      <c r="BV72" s="154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</row>
    <row r="73" spans="1:89" ht="17.399999999999999">
      <c r="A73" s="161" t="s">
        <v>11</v>
      </c>
      <c r="B73" s="308">
        <f>BJ67</f>
        <v>208</v>
      </c>
      <c r="C73" s="301"/>
      <c r="D73" s="301"/>
      <c r="E73" s="161" t="str">
        <f t="shared" si="112"/>
        <v>6º</v>
      </c>
      <c r="F73" s="156"/>
      <c r="G73" s="309" t="s">
        <v>68</v>
      </c>
      <c r="H73" s="301"/>
      <c r="I73" s="301"/>
      <c r="J73" s="301"/>
      <c r="K73" s="301"/>
      <c r="L73" s="301"/>
      <c r="M73" s="301"/>
      <c r="N73" s="301"/>
      <c r="O73" s="301"/>
      <c r="P73" s="301"/>
      <c r="Q73" s="301"/>
      <c r="R73" s="301"/>
      <c r="S73" s="301"/>
      <c r="T73" s="310" t="s">
        <v>69</v>
      </c>
      <c r="U73" s="301"/>
      <c r="AI73" s="157"/>
      <c r="AJ73" s="163"/>
      <c r="AQ73" s="158"/>
      <c r="AR73" s="159"/>
      <c r="AS73" s="159"/>
      <c r="AT73" s="159"/>
      <c r="AU73" s="159"/>
      <c r="AV73" s="159"/>
      <c r="AW73" s="159"/>
      <c r="AX73" s="159"/>
      <c r="AY73" s="159"/>
      <c r="AZ73" s="158"/>
      <c r="BA73" s="154"/>
      <c r="BB73" s="159"/>
      <c r="BC73" s="159"/>
      <c r="BD73" s="159"/>
      <c r="BE73" s="159"/>
      <c r="BF73" s="159"/>
      <c r="BG73" s="159"/>
      <c r="BH73" s="159"/>
      <c r="BI73" s="154"/>
      <c r="BJ73" s="154"/>
      <c r="BK73" s="154"/>
      <c r="BL73" s="154"/>
      <c r="BM73" s="154"/>
      <c r="BN73" s="160"/>
      <c r="BO73" s="154"/>
      <c r="BP73" s="154"/>
      <c r="BQ73" s="154"/>
      <c r="BR73" s="154"/>
      <c r="BS73" s="154"/>
      <c r="BT73" s="154"/>
      <c r="BU73" s="154"/>
      <c r="BV73" s="154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</row>
    <row r="74" spans="1:89" ht="17.399999999999999">
      <c r="A74" s="162" t="s">
        <v>70</v>
      </c>
      <c r="B74" s="307">
        <f>BE67</f>
        <v>219</v>
      </c>
      <c r="C74" s="301"/>
      <c r="D74" s="301"/>
      <c r="E74" s="162" t="str">
        <f t="shared" si="112"/>
        <v>4º</v>
      </c>
      <c r="F74" s="156"/>
      <c r="G74" s="311" t="s">
        <v>71</v>
      </c>
      <c r="H74" s="301"/>
      <c r="I74" s="301"/>
      <c r="J74" s="301"/>
      <c r="K74" s="301"/>
      <c r="L74" s="301"/>
      <c r="M74" s="301"/>
      <c r="N74" s="301"/>
      <c r="O74" s="301"/>
      <c r="P74" s="301"/>
      <c r="Q74" s="301"/>
      <c r="R74" s="301"/>
      <c r="S74" s="301"/>
      <c r="T74" s="312" t="s">
        <v>72</v>
      </c>
      <c r="U74" s="301"/>
      <c r="AI74" s="157"/>
      <c r="AJ74" s="163"/>
      <c r="AQ74" s="158"/>
      <c r="AR74" s="159"/>
      <c r="AS74" s="159"/>
      <c r="AT74" s="159"/>
      <c r="AU74" s="159"/>
      <c r="AV74" s="159"/>
      <c r="AW74" s="159"/>
      <c r="AX74" s="159"/>
      <c r="AY74" s="159"/>
      <c r="AZ74" s="158"/>
      <c r="BA74" s="154"/>
      <c r="BB74" s="159"/>
      <c r="BC74" s="159"/>
      <c r="BD74" s="159"/>
      <c r="BE74" s="159"/>
      <c r="BF74" s="159"/>
      <c r="BG74" s="159"/>
      <c r="BH74" s="159"/>
      <c r="BI74" s="154"/>
      <c r="BJ74" s="154"/>
      <c r="BK74" s="154"/>
      <c r="BL74" s="154"/>
      <c r="BM74" s="154"/>
      <c r="BN74" s="160"/>
      <c r="BO74" s="154"/>
      <c r="BP74" s="154"/>
      <c r="BQ74" s="154"/>
      <c r="BR74" s="154"/>
      <c r="BS74" s="154"/>
      <c r="BT74" s="154"/>
      <c r="BU74" s="154"/>
      <c r="BV74" s="154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</row>
    <row r="75" spans="1:89" ht="17.399999999999999">
      <c r="A75" s="161" t="s">
        <v>9</v>
      </c>
      <c r="B75" s="308">
        <f>AZ67</f>
        <v>187</v>
      </c>
      <c r="C75" s="301"/>
      <c r="D75" s="301"/>
      <c r="E75" s="161" t="str">
        <f t="shared" si="112"/>
        <v>8º</v>
      </c>
      <c r="F75" s="156"/>
      <c r="AJ75" s="157"/>
      <c r="AK75" s="163"/>
      <c r="AR75" s="158"/>
      <c r="AS75" s="159"/>
      <c r="AT75" s="159"/>
      <c r="AU75" s="159"/>
      <c r="AV75" s="159"/>
      <c r="AW75" s="159"/>
      <c r="AX75" s="159"/>
      <c r="AY75" s="159"/>
      <c r="AZ75" s="159"/>
      <c r="BA75" s="158"/>
      <c r="BB75" s="154"/>
      <c r="BC75" s="159"/>
      <c r="BD75" s="159"/>
      <c r="BE75" s="159"/>
      <c r="BF75" s="159"/>
      <c r="BG75" s="159"/>
      <c r="BH75" s="159"/>
      <c r="BI75" s="159"/>
      <c r="BJ75" s="154"/>
      <c r="BK75" s="154"/>
      <c r="BL75" s="154"/>
      <c r="BM75" s="154"/>
      <c r="BN75" s="154"/>
      <c r="BO75" s="160"/>
      <c r="BP75" s="154"/>
      <c r="BQ75" s="154"/>
      <c r="BR75" s="154"/>
      <c r="BS75" s="154"/>
      <c r="BT75" s="154"/>
      <c r="BU75" s="154"/>
      <c r="BV75" s="154"/>
      <c r="BW75" s="154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</row>
    <row r="76" spans="1:89" ht="17.399999999999999">
      <c r="A76" s="162" t="s">
        <v>8</v>
      </c>
      <c r="B76" s="307">
        <f>AU67</f>
        <v>204</v>
      </c>
      <c r="C76" s="301"/>
      <c r="D76" s="301"/>
      <c r="E76" s="162" t="str">
        <f t="shared" si="112"/>
        <v>7º</v>
      </c>
      <c r="F76" s="156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8"/>
      <c r="AB76" s="158"/>
      <c r="AC76" s="164"/>
      <c r="AD76" s="164"/>
      <c r="AE76" s="164"/>
      <c r="AF76" s="164"/>
      <c r="AG76" s="164"/>
      <c r="AH76" s="158"/>
      <c r="AI76" s="157"/>
      <c r="AJ76" s="157"/>
      <c r="AK76" s="165"/>
      <c r="AR76" s="158"/>
      <c r="AS76" s="159"/>
      <c r="AT76" s="159"/>
      <c r="AU76" s="159"/>
      <c r="AV76" s="159"/>
      <c r="AW76" s="159"/>
      <c r="AX76" s="159"/>
      <c r="AY76" s="159"/>
      <c r="AZ76" s="159"/>
      <c r="BA76" s="158"/>
      <c r="BB76" s="154"/>
      <c r="BC76" s="159"/>
      <c r="BD76" s="159"/>
      <c r="BE76" s="159"/>
      <c r="BF76" s="159"/>
      <c r="BG76" s="159"/>
      <c r="BH76" s="159"/>
      <c r="BI76" s="159"/>
      <c r="BJ76" s="154"/>
      <c r="BK76" s="154"/>
      <c r="BL76" s="154"/>
      <c r="BM76" s="154"/>
      <c r="BN76" s="154"/>
      <c r="BO76" s="160"/>
      <c r="BP76" s="154"/>
      <c r="BQ76" s="154"/>
      <c r="BR76" s="154"/>
      <c r="BS76" s="154"/>
      <c r="BT76" s="154"/>
      <c r="BU76" s="154"/>
      <c r="BV76" s="154"/>
      <c r="BW76" s="154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</row>
    <row r="77" spans="1:89" ht="17.399999999999999">
      <c r="A77" s="161" t="s">
        <v>7</v>
      </c>
      <c r="B77" s="308">
        <f>AP67</f>
        <v>0</v>
      </c>
      <c r="C77" s="301"/>
      <c r="D77" s="301"/>
      <c r="E77" s="161" t="str">
        <f t="shared" si="112"/>
        <v>0</v>
      </c>
      <c r="F77" s="156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64"/>
      <c r="AD77" s="164"/>
      <c r="AE77" s="164"/>
      <c r="AF77" s="164"/>
      <c r="AG77" s="164"/>
      <c r="AH77" s="158"/>
      <c r="AI77" s="157"/>
      <c r="AJ77" s="157"/>
      <c r="AK77" s="165"/>
      <c r="AR77" s="158"/>
      <c r="AS77" s="159"/>
      <c r="AT77" s="159"/>
      <c r="AU77" s="159"/>
      <c r="AV77" s="159"/>
      <c r="AW77" s="159"/>
      <c r="AX77" s="159"/>
      <c r="AY77" s="159"/>
      <c r="AZ77" s="159"/>
      <c r="BA77" s="158"/>
      <c r="BB77" s="154"/>
      <c r="BC77" s="159"/>
      <c r="BD77" s="159"/>
      <c r="BE77" s="159"/>
      <c r="BF77" s="159"/>
      <c r="BG77" s="159"/>
      <c r="BH77" s="159"/>
      <c r="BI77" s="159"/>
      <c r="BJ77" s="154"/>
      <c r="BK77" s="154"/>
      <c r="BL77" s="154"/>
      <c r="BM77" s="154"/>
      <c r="BN77" s="154"/>
      <c r="BO77" s="160"/>
      <c r="BP77" s="154"/>
      <c r="BQ77" s="154"/>
      <c r="BR77" s="154"/>
      <c r="BS77" s="154"/>
      <c r="BT77" s="154"/>
      <c r="BU77" s="154"/>
      <c r="BV77" s="154"/>
      <c r="BW77" s="154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</row>
    <row r="78" spans="1:89" ht="17.399999999999999">
      <c r="A78" s="162" t="s">
        <v>6</v>
      </c>
      <c r="B78" s="307">
        <f>AK67</f>
        <v>212</v>
      </c>
      <c r="C78" s="301"/>
      <c r="D78" s="301"/>
      <c r="E78" s="162" t="str">
        <f t="shared" si="112"/>
        <v>5º</v>
      </c>
      <c r="F78" s="156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64"/>
      <c r="AD78" s="164"/>
      <c r="AE78" s="164"/>
      <c r="AF78" s="164"/>
      <c r="AG78" s="164"/>
      <c r="AH78" s="158"/>
      <c r="AI78" s="157"/>
      <c r="AJ78" s="157"/>
      <c r="AK78" s="165"/>
      <c r="AR78" s="158"/>
      <c r="AS78" s="159"/>
      <c r="AT78" s="159"/>
      <c r="AU78" s="159"/>
      <c r="AV78" s="159"/>
      <c r="AW78" s="159"/>
      <c r="AX78" s="159"/>
      <c r="AY78" s="159"/>
      <c r="AZ78" s="159"/>
      <c r="BA78" s="158"/>
      <c r="BB78" s="154"/>
      <c r="BC78" s="159"/>
      <c r="BD78" s="159"/>
      <c r="BE78" s="159"/>
      <c r="BF78" s="159"/>
      <c r="BG78" s="159"/>
      <c r="BH78" s="159"/>
      <c r="BI78" s="159"/>
      <c r="BJ78" s="154"/>
      <c r="BK78" s="154"/>
      <c r="BL78" s="154"/>
      <c r="BM78" s="154"/>
      <c r="BN78" s="154"/>
      <c r="BO78" s="154"/>
      <c r="BP78" s="154"/>
      <c r="BQ78" s="154"/>
      <c r="BR78" s="154"/>
      <c r="BS78" s="154"/>
      <c r="BT78" s="154"/>
      <c r="BU78" s="154"/>
      <c r="BV78" s="154"/>
      <c r="BW78" s="154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</row>
    <row r="79" spans="1:89" ht="17.399999999999999">
      <c r="A79" s="161" t="s">
        <v>5</v>
      </c>
      <c r="B79" s="308">
        <f>AF67</f>
        <v>167</v>
      </c>
      <c r="C79" s="301"/>
      <c r="D79" s="301"/>
      <c r="E79" s="161" t="str">
        <f t="shared" si="112"/>
        <v>11º</v>
      </c>
      <c r="F79" s="156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  <c r="AA79" s="158"/>
      <c r="AB79" s="158"/>
      <c r="AC79" s="164"/>
      <c r="AD79" s="164"/>
      <c r="AE79" s="164"/>
      <c r="AF79" s="164"/>
      <c r="AG79" s="164"/>
      <c r="AH79" s="158"/>
      <c r="AI79" s="157"/>
      <c r="AJ79" s="157"/>
      <c r="AK79" s="165"/>
      <c r="AR79" s="158"/>
      <c r="AS79" s="159"/>
      <c r="AT79" s="159"/>
      <c r="AU79" s="159"/>
      <c r="AV79" s="159"/>
      <c r="AW79" s="159"/>
      <c r="AX79" s="159"/>
      <c r="AY79" s="159"/>
      <c r="AZ79" s="159"/>
      <c r="BA79" s="158"/>
      <c r="BB79" s="154"/>
      <c r="BC79" s="159"/>
      <c r="BD79" s="159"/>
      <c r="BE79" s="159"/>
      <c r="BF79" s="159"/>
      <c r="BG79" s="159"/>
      <c r="BH79" s="159"/>
      <c r="BI79" s="159"/>
      <c r="BJ79" s="154"/>
      <c r="BK79" s="154"/>
      <c r="BL79" s="154"/>
      <c r="BM79" s="154"/>
      <c r="BN79" s="154"/>
      <c r="BO79" s="154"/>
      <c r="BP79" s="154"/>
      <c r="BQ79" s="154"/>
      <c r="BR79" s="154"/>
      <c r="BS79" s="154"/>
      <c r="BT79" s="154"/>
      <c r="BU79" s="154"/>
      <c r="BV79" s="154"/>
      <c r="BW79" s="154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</row>
    <row r="80" spans="1:89" ht="17.399999999999999">
      <c r="A80" s="162" t="s">
        <v>4</v>
      </c>
      <c r="B80" s="307">
        <f>AA67</f>
        <v>174</v>
      </c>
      <c r="C80" s="301"/>
      <c r="D80" s="301"/>
      <c r="E80" s="162" t="str">
        <f t="shared" si="112"/>
        <v>9º</v>
      </c>
      <c r="F80" s="156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64"/>
      <c r="AD80" s="164"/>
      <c r="AE80" s="164"/>
      <c r="AF80" s="164"/>
      <c r="AG80" s="164"/>
      <c r="AH80" s="158"/>
      <c r="AI80" s="157"/>
      <c r="AJ80" s="157"/>
      <c r="AK80" s="165"/>
      <c r="AR80" s="158"/>
      <c r="AS80" s="159"/>
      <c r="AT80" s="159"/>
      <c r="AU80" s="159"/>
      <c r="AV80" s="159"/>
      <c r="AW80" s="159"/>
      <c r="AX80" s="159"/>
      <c r="AY80" s="159"/>
      <c r="AZ80" s="159"/>
      <c r="BA80" s="158"/>
      <c r="BB80" s="154"/>
      <c r="BC80" s="159"/>
      <c r="BD80" s="159"/>
      <c r="BE80" s="159"/>
      <c r="BF80" s="159"/>
      <c r="BG80" s="159"/>
      <c r="BH80" s="159"/>
      <c r="BI80" s="159"/>
      <c r="BJ80" s="154"/>
      <c r="BK80" s="154"/>
      <c r="BL80" s="154"/>
      <c r="BM80" s="154"/>
      <c r="BN80" s="154"/>
      <c r="BO80" s="154"/>
      <c r="BP80" s="154"/>
      <c r="BQ80" s="154"/>
      <c r="BR80" s="154"/>
      <c r="BS80" s="154"/>
      <c r="BT80" s="154"/>
      <c r="BU80" s="154"/>
      <c r="BV80" s="154"/>
      <c r="BW80" s="154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</row>
    <row r="81" spans="1:89" ht="17.399999999999999">
      <c r="A81" s="161" t="s">
        <v>3</v>
      </c>
      <c r="B81" s="308">
        <f>V67</f>
        <v>160</v>
      </c>
      <c r="C81" s="301"/>
      <c r="D81" s="301"/>
      <c r="E81" s="161" t="str">
        <f t="shared" si="112"/>
        <v>12º</v>
      </c>
      <c r="F81" s="156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  <c r="AA81" s="158"/>
      <c r="AB81" s="158"/>
      <c r="AC81" s="164"/>
      <c r="AD81" s="164"/>
      <c r="AE81" s="164"/>
      <c r="AF81" s="164"/>
      <c r="AG81" s="164"/>
      <c r="AH81" s="158"/>
      <c r="AI81" s="157"/>
      <c r="AJ81" s="157"/>
      <c r="AK81" s="159"/>
      <c r="AR81" s="158"/>
      <c r="AS81" s="159"/>
      <c r="AT81" s="159"/>
      <c r="AU81" s="159"/>
      <c r="AV81" s="159"/>
      <c r="AW81" s="159"/>
      <c r="AX81" s="159"/>
      <c r="AY81" s="159"/>
      <c r="AZ81" s="159"/>
      <c r="BA81" s="158"/>
      <c r="BB81" s="154"/>
      <c r="BC81" s="159"/>
      <c r="BD81" s="159"/>
      <c r="BE81" s="159"/>
      <c r="BF81" s="159"/>
      <c r="BG81" s="159"/>
      <c r="BH81" s="159"/>
      <c r="BI81" s="159"/>
      <c r="BJ81" s="154"/>
      <c r="BK81" s="154"/>
      <c r="BL81" s="154"/>
      <c r="BM81" s="154"/>
      <c r="BN81" s="154"/>
      <c r="BO81" s="154"/>
      <c r="BP81" s="154"/>
      <c r="BQ81" s="154"/>
      <c r="BR81" s="154"/>
      <c r="BS81" s="154"/>
      <c r="BT81" s="154"/>
      <c r="BU81" s="154"/>
      <c r="BV81" s="154"/>
      <c r="BW81" s="154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</row>
    <row r="82" spans="1:89" ht="17.399999999999999">
      <c r="A82" s="162" t="s">
        <v>2</v>
      </c>
      <c r="B82" s="307">
        <f>Q67</f>
        <v>232</v>
      </c>
      <c r="C82" s="301"/>
      <c r="D82" s="301"/>
      <c r="E82" s="162" t="str">
        <f t="shared" si="112"/>
        <v>2º</v>
      </c>
      <c r="F82" s="156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64"/>
      <c r="AD82" s="164"/>
      <c r="AE82" s="164"/>
      <c r="AF82" s="164"/>
      <c r="AG82" s="164"/>
      <c r="AH82" s="158"/>
      <c r="AI82" s="157"/>
      <c r="AJ82" s="157"/>
      <c r="AK82" s="159"/>
      <c r="AR82" s="158"/>
      <c r="AS82" s="159"/>
      <c r="AT82" s="159"/>
      <c r="AU82" s="159"/>
      <c r="AV82" s="159"/>
      <c r="AW82" s="159"/>
      <c r="AX82" s="159"/>
      <c r="AY82" s="159"/>
      <c r="AZ82" s="159"/>
      <c r="BA82" s="158"/>
      <c r="BB82" s="154"/>
      <c r="BC82" s="159"/>
      <c r="BD82" s="159"/>
      <c r="BE82" s="159"/>
      <c r="BF82" s="159"/>
      <c r="BG82" s="159"/>
      <c r="BH82" s="159"/>
      <c r="BI82" s="159"/>
      <c r="BJ82" s="154"/>
      <c r="BK82" s="154"/>
      <c r="BL82" s="154"/>
      <c r="BM82" s="154"/>
      <c r="BN82" s="154"/>
      <c r="BO82" s="154"/>
      <c r="BP82" s="154"/>
      <c r="BQ82" s="154"/>
      <c r="BR82" s="154"/>
      <c r="BS82" s="154"/>
      <c r="BT82" s="154"/>
      <c r="BU82" s="154"/>
      <c r="BV82" s="154"/>
      <c r="BW82" s="154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</row>
    <row r="83" spans="1:89" ht="17.399999999999999">
      <c r="A83" s="161" t="s">
        <v>1</v>
      </c>
      <c r="B83" s="308">
        <f>L67</f>
        <v>233</v>
      </c>
      <c r="C83" s="301"/>
      <c r="D83" s="301"/>
      <c r="E83" s="161" t="str">
        <f t="shared" si="112"/>
        <v>1º</v>
      </c>
      <c r="F83" s="156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64"/>
      <c r="AD83" s="164"/>
      <c r="AE83" s="164"/>
      <c r="AF83" s="164"/>
      <c r="AG83" s="164"/>
      <c r="AH83" s="157"/>
      <c r="AI83" s="157"/>
      <c r="AJ83" s="157"/>
      <c r="AK83" s="159"/>
      <c r="AL83" s="159"/>
      <c r="AM83" s="159"/>
      <c r="AN83" s="158"/>
      <c r="AO83" s="158"/>
      <c r="AP83" s="158"/>
      <c r="AQ83" s="158"/>
      <c r="AR83" s="158"/>
      <c r="AS83" s="159"/>
      <c r="AT83" s="159"/>
      <c r="AU83" s="159"/>
      <c r="AV83" s="159"/>
      <c r="AW83" s="159"/>
      <c r="AX83" s="159"/>
      <c r="AY83" s="159"/>
      <c r="AZ83" s="159"/>
      <c r="BA83" s="158"/>
      <c r="BB83" s="154"/>
      <c r="BC83" s="159"/>
      <c r="BD83" s="159"/>
      <c r="BE83" s="159"/>
      <c r="BF83" s="159"/>
      <c r="BG83" s="159"/>
      <c r="BH83" s="159"/>
      <c r="BI83" s="159"/>
      <c r="BJ83" s="154"/>
      <c r="BK83" s="154"/>
      <c r="BL83" s="154"/>
      <c r="BM83" s="154"/>
      <c r="BN83" s="154"/>
      <c r="BO83" s="154"/>
      <c r="BP83" s="154"/>
      <c r="BQ83" s="154"/>
      <c r="BR83" s="154"/>
      <c r="BS83" s="154"/>
      <c r="BT83" s="154"/>
      <c r="BU83" s="154"/>
      <c r="BV83" s="154"/>
      <c r="BW83" s="154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</row>
    <row r="84" spans="1:89" ht="17.399999999999999">
      <c r="A84" s="162" t="s">
        <v>0</v>
      </c>
      <c r="B84" s="307">
        <f>G67</f>
        <v>153</v>
      </c>
      <c r="C84" s="301"/>
      <c r="D84" s="301"/>
      <c r="E84" s="162" t="str">
        <f t="shared" si="112"/>
        <v>13º</v>
      </c>
      <c r="F84" s="156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57"/>
      <c r="AD84" s="157"/>
      <c r="AE84" s="157"/>
      <c r="AF84" s="157"/>
      <c r="AG84" s="157"/>
      <c r="AH84" s="157"/>
      <c r="AI84" s="157"/>
      <c r="AJ84" s="157"/>
      <c r="AK84" s="159"/>
      <c r="AL84" s="159"/>
      <c r="AM84" s="159"/>
      <c r="AN84" s="143"/>
      <c r="AO84" s="143"/>
      <c r="AP84" s="143"/>
      <c r="AQ84" s="143"/>
      <c r="AR84" s="143"/>
      <c r="AS84" s="159"/>
      <c r="AT84" s="159"/>
      <c r="AU84" s="159"/>
      <c r="AV84" s="159"/>
      <c r="AW84" s="159"/>
      <c r="AX84" s="159"/>
      <c r="AY84" s="159"/>
      <c r="AZ84" s="159"/>
      <c r="BA84" s="143"/>
      <c r="BB84" s="154"/>
      <c r="BC84" s="159"/>
      <c r="BD84" s="159"/>
      <c r="BE84" s="159"/>
      <c r="BF84" s="159"/>
      <c r="BG84" s="159"/>
      <c r="BH84" s="159"/>
      <c r="BI84" s="159"/>
      <c r="BJ84" s="154"/>
      <c r="BK84" s="154"/>
      <c r="BL84" s="154"/>
      <c r="BM84" s="154"/>
      <c r="BN84" s="154"/>
      <c r="BO84" s="154"/>
      <c r="BP84" s="154"/>
      <c r="BQ84" s="154"/>
      <c r="BR84" s="154"/>
      <c r="BS84" s="154"/>
      <c r="BT84" s="154"/>
      <c r="BU84" s="154"/>
      <c r="BV84" s="154"/>
      <c r="BW84" s="154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</row>
  </sheetData>
  <mergeCells count="191">
    <mergeCell ref="A1:E1"/>
    <mergeCell ref="L1:N1"/>
    <mergeCell ref="V1:X1"/>
    <mergeCell ref="AF1:AH1"/>
    <mergeCell ref="A2:E2"/>
    <mergeCell ref="L2:N2"/>
    <mergeCell ref="V2:X2"/>
    <mergeCell ref="BO2:BQ2"/>
    <mergeCell ref="BT2:BV2"/>
    <mergeCell ref="AF2:AH2"/>
    <mergeCell ref="AK2:AM2"/>
    <mergeCell ref="AP2:AR2"/>
    <mergeCell ref="AU2:AW2"/>
    <mergeCell ref="AZ2:BB2"/>
    <mergeCell ref="BE2:BG2"/>
    <mergeCell ref="BJ2:BL2"/>
    <mergeCell ref="AZ9:BB9"/>
    <mergeCell ref="BE9:BG9"/>
    <mergeCell ref="BJ9:BL9"/>
    <mergeCell ref="BO9:BQ9"/>
    <mergeCell ref="BT9:BV9"/>
    <mergeCell ref="AA1:AC1"/>
    <mergeCell ref="AA2:AC2"/>
    <mergeCell ref="AA9:AC9"/>
    <mergeCell ref="AF9:AH9"/>
    <mergeCell ref="AK9:AM9"/>
    <mergeCell ref="AP9:AR9"/>
    <mergeCell ref="AU9:AW9"/>
    <mergeCell ref="AK1:AM1"/>
    <mergeCell ref="AP1:AR1"/>
    <mergeCell ref="AU1:AW1"/>
    <mergeCell ref="AZ1:BB1"/>
    <mergeCell ref="BE1:BG1"/>
    <mergeCell ref="BJ1:BL1"/>
    <mergeCell ref="BO1:BQ1"/>
    <mergeCell ref="BT1:BV1"/>
    <mergeCell ref="G33:I33"/>
    <mergeCell ref="L41:N41"/>
    <mergeCell ref="Q41:S41"/>
    <mergeCell ref="V41:X41"/>
    <mergeCell ref="AA41:AC41"/>
    <mergeCell ref="AF41:AH41"/>
    <mergeCell ref="BO17:BQ17"/>
    <mergeCell ref="BT17:BV17"/>
    <mergeCell ref="AF17:AH17"/>
    <mergeCell ref="AK17:AM17"/>
    <mergeCell ref="AP17:AR17"/>
    <mergeCell ref="AU17:AW17"/>
    <mergeCell ref="AZ17:BB17"/>
    <mergeCell ref="BE17:BG17"/>
    <mergeCell ref="BJ17:BL17"/>
    <mergeCell ref="A42:E42"/>
    <mergeCell ref="Q1:S1"/>
    <mergeCell ref="Q2:S2"/>
    <mergeCell ref="Q9:S9"/>
    <mergeCell ref="V9:X9"/>
    <mergeCell ref="Q17:S17"/>
    <mergeCell ref="V17:X17"/>
    <mergeCell ref="AA17:AC17"/>
    <mergeCell ref="AK25:AM25"/>
    <mergeCell ref="A26:E26"/>
    <mergeCell ref="G1:I1"/>
    <mergeCell ref="G2:I2"/>
    <mergeCell ref="G9:I9"/>
    <mergeCell ref="L9:N9"/>
    <mergeCell ref="A10:E10"/>
    <mergeCell ref="A18:E18"/>
    <mergeCell ref="G41:I41"/>
    <mergeCell ref="L33:N33"/>
    <mergeCell ref="Q33:S33"/>
    <mergeCell ref="V33:X33"/>
    <mergeCell ref="AA33:AC33"/>
    <mergeCell ref="AF33:AH33"/>
    <mergeCell ref="AK33:AM33"/>
    <mergeCell ref="A34:E34"/>
    <mergeCell ref="AP25:AR25"/>
    <mergeCell ref="AU25:AW25"/>
    <mergeCell ref="AZ25:BB25"/>
    <mergeCell ref="BE25:BG25"/>
    <mergeCell ref="BJ25:BL25"/>
    <mergeCell ref="BO25:BQ25"/>
    <mergeCell ref="BT25:BV25"/>
    <mergeCell ref="G17:I17"/>
    <mergeCell ref="G25:I25"/>
    <mergeCell ref="L25:N25"/>
    <mergeCell ref="Q25:S25"/>
    <mergeCell ref="V25:X25"/>
    <mergeCell ref="AA25:AC25"/>
    <mergeCell ref="AF25:AH25"/>
    <mergeCell ref="L17:N17"/>
    <mergeCell ref="AP33:AR33"/>
    <mergeCell ref="AU33:AW33"/>
    <mergeCell ref="AZ33:BB33"/>
    <mergeCell ref="BE33:BG33"/>
    <mergeCell ref="BJ33:BL33"/>
    <mergeCell ref="BO33:BQ33"/>
    <mergeCell ref="BT33:BV33"/>
    <mergeCell ref="AK41:AM41"/>
    <mergeCell ref="AP41:AR41"/>
    <mergeCell ref="AU41:AW41"/>
    <mergeCell ref="AZ41:BB41"/>
    <mergeCell ref="BE41:BG41"/>
    <mergeCell ref="BJ41:BL41"/>
    <mergeCell ref="BO41:BQ41"/>
    <mergeCell ref="BT41:BV41"/>
    <mergeCell ref="AK49:AM49"/>
    <mergeCell ref="AP49:AR49"/>
    <mergeCell ref="AU49:AW49"/>
    <mergeCell ref="AZ49:BB49"/>
    <mergeCell ref="BE49:BG49"/>
    <mergeCell ref="BJ49:BL49"/>
    <mergeCell ref="BO49:BQ49"/>
    <mergeCell ref="BT49:BV49"/>
    <mergeCell ref="G72:S72"/>
    <mergeCell ref="T72:U72"/>
    <mergeCell ref="L49:N49"/>
    <mergeCell ref="Q49:S49"/>
    <mergeCell ref="V49:X49"/>
    <mergeCell ref="AA49:AC49"/>
    <mergeCell ref="AF49:AH49"/>
    <mergeCell ref="G49:I49"/>
    <mergeCell ref="AK67:AM67"/>
    <mergeCell ref="AP67:AR67"/>
    <mergeCell ref="AU67:AW67"/>
    <mergeCell ref="AZ67:BB67"/>
    <mergeCell ref="BE67:BG67"/>
    <mergeCell ref="BJ67:BL67"/>
    <mergeCell ref="BO67:BQ67"/>
    <mergeCell ref="BT67:BV67"/>
    <mergeCell ref="G73:S73"/>
    <mergeCell ref="T73:U73"/>
    <mergeCell ref="G74:S74"/>
    <mergeCell ref="T74:U74"/>
    <mergeCell ref="A69:E69"/>
    <mergeCell ref="G69:U69"/>
    <mergeCell ref="B70:D70"/>
    <mergeCell ref="G70:S70"/>
    <mergeCell ref="T70:U70"/>
    <mergeCell ref="G71:S71"/>
    <mergeCell ref="T71:U71"/>
    <mergeCell ref="B78:D78"/>
    <mergeCell ref="B79:D79"/>
    <mergeCell ref="B80:D80"/>
    <mergeCell ref="B81:D81"/>
    <mergeCell ref="B82:D82"/>
    <mergeCell ref="B83:D83"/>
    <mergeCell ref="B84:D84"/>
    <mergeCell ref="B71:D71"/>
    <mergeCell ref="B72:D72"/>
    <mergeCell ref="B73:D73"/>
    <mergeCell ref="B74:D74"/>
    <mergeCell ref="B75:D75"/>
    <mergeCell ref="B76:D76"/>
    <mergeCell ref="B77:D77"/>
    <mergeCell ref="A50:E50"/>
    <mergeCell ref="AK57:AM57"/>
    <mergeCell ref="AP57:AR57"/>
    <mergeCell ref="AU57:AW57"/>
    <mergeCell ref="AZ57:BB57"/>
    <mergeCell ref="BE57:BG57"/>
    <mergeCell ref="BJ57:BL57"/>
    <mergeCell ref="BO57:BQ57"/>
    <mergeCell ref="BT57:BV57"/>
    <mergeCell ref="L57:N57"/>
    <mergeCell ref="Q57:S57"/>
    <mergeCell ref="V57:X57"/>
    <mergeCell ref="AA57:AC57"/>
    <mergeCell ref="AF57:AH57"/>
    <mergeCell ref="G57:I57"/>
    <mergeCell ref="AP65:AR65"/>
    <mergeCell ref="AU65:AW65"/>
    <mergeCell ref="AZ65:BB65"/>
    <mergeCell ref="BE65:BG65"/>
    <mergeCell ref="BJ65:BL65"/>
    <mergeCell ref="BO65:BQ65"/>
    <mergeCell ref="BT65:BV65"/>
    <mergeCell ref="G65:I65"/>
    <mergeCell ref="L65:N65"/>
    <mergeCell ref="Q65:S65"/>
    <mergeCell ref="V65:X65"/>
    <mergeCell ref="AA65:AC65"/>
    <mergeCell ref="AF65:AH65"/>
    <mergeCell ref="A67:E67"/>
    <mergeCell ref="G67:I67"/>
    <mergeCell ref="L67:N67"/>
    <mergeCell ref="Q67:S67"/>
    <mergeCell ref="V67:X67"/>
    <mergeCell ref="AA67:AC67"/>
    <mergeCell ref="AF67:AH67"/>
    <mergeCell ref="A58:E58"/>
    <mergeCell ref="AK65:AM65"/>
  </mergeCells>
  <conditionalFormatting sqref="A71:E84">
    <cfRule type="expression" dxfId="1" priority="1">
      <formula>$E71="1º"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A132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D3" sqref="D3"/>
    </sheetView>
  </sheetViews>
  <sheetFormatPr defaultColWidth="14.44140625" defaultRowHeight="15" customHeight="1"/>
  <cols>
    <col min="1" max="1" width="52.33203125" customWidth="1"/>
    <col min="2" max="2" width="5.88671875" customWidth="1"/>
    <col min="3" max="3" width="3" customWidth="1"/>
    <col min="4" max="4" width="5.88671875" customWidth="1"/>
    <col min="5" max="5" width="52.33203125" customWidth="1"/>
    <col min="6" max="6" width="1.44140625" customWidth="1"/>
    <col min="7" max="7" width="5.88671875" customWidth="1"/>
    <col min="8" max="8" width="3" customWidth="1"/>
    <col min="9" max="10" width="5.88671875" customWidth="1"/>
    <col min="11" max="11" width="1.5546875" customWidth="1"/>
    <col min="12" max="12" width="5.88671875" customWidth="1"/>
    <col min="13" max="13" width="3" customWidth="1"/>
    <col min="14" max="15" width="5.88671875" customWidth="1"/>
    <col min="16" max="16" width="1.5546875" customWidth="1"/>
    <col min="17" max="17" width="5.88671875" customWidth="1"/>
    <col min="18" max="18" width="3" customWidth="1"/>
    <col min="19" max="20" width="5.88671875" customWidth="1"/>
    <col min="21" max="21" width="1.5546875" customWidth="1"/>
    <col min="22" max="22" width="5.88671875" customWidth="1"/>
    <col min="23" max="23" width="3" customWidth="1"/>
    <col min="24" max="25" width="5.88671875" customWidth="1"/>
    <col min="26" max="26" width="1.5546875" customWidth="1"/>
    <col min="27" max="27" width="5.88671875" customWidth="1"/>
    <col min="28" max="28" width="3" customWidth="1"/>
    <col min="29" max="30" width="5.88671875" customWidth="1"/>
    <col min="31" max="31" width="1.5546875" customWidth="1"/>
    <col min="32" max="32" width="5.88671875" customWidth="1"/>
    <col min="33" max="33" width="3" customWidth="1"/>
    <col min="34" max="35" width="5.88671875" customWidth="1"/>
    <col min="36" max="36" width="1.5546875" customWidth="1"/>
    <col min="37" max="37" width="5.88671875" customWidth="1"/>
    <col min="38" max="38" width="3" customWidth="1"/>
    <col min="39" max="40" width="5.88671875" customWidth="1"/>
    <col min="41" max="41" width="1.5546875" customWidth="1"/>
    <col min="42" max="42" width="5.88671875" customWidth="1"/>
    <col min="43" max="43" width="3" customWidth="1"/>
    <col min="44" max="45" width="5.88671875" customWidth="1"/>
    <col min="46" max="46" width="1.5546875" customWidth="1"/>
    <col min="47" max="47" width="5.88671875" customWidth="1"/>
    <col min="48" max="48" width="3" customWidth="1"/>
    <col min="49" max="50" width="5.88671875" customWidth="1"/>
    <col min="51" max="51" width="1.5546875" customWidth="1"/>
    <col min="52" max="52" width="5.88671875" customWidth="1"/>
    <col min="53" max="53" width="3" customWidth="1"/>
    <col min="54" max="55" width="5.88671875" customWidth="1"/>
    <col min="56" max="56" width="1.5546875" customWidth="1"/>
    <col min="57" max="57" width="5.88671875" customWidth="1"/>
    <col min="58" max="58" width="3" customWidth="1"/>
    <col min="59" max="60" width="5.88671875" customWidth="1"/>
    <col min="61" max="61" width="1.5546875" customWidth="1"/>
    <col min="62" max="62" width="5.88671875" customWidth="1"/>
    <col min="63" max="63" width="3" customWidth="1"/>
    <col min="64" max="65" width="5.88671875" customWidth="1"/>
    <col min="66" max="66" width="1.5546875" customWidth="1"/>
    <col min="67" max="67" width="5.88671875" customWidth="1"/>
    <col min="68" max="68" width="3" customWidth="1"/>
    <col min="69" max="70" width="5.88671875" customWidth="1"/>
    <col min="71" max="71" width="1.5546875" customWidth="1"/>
    <col min="72" max="72" width="5.88671875" customWidth="1"/>
    <col min="73" max="73" width="3" customWidth="1"/>
    <col min="74" max="74" width="5.88671875" customWidth="1"/>
    <col min="75" max="75" width="6" customWidth="1"/>
    <col min="76" max="76" width="1.5546875" customWidth="1"/>
    <col min="77" max="77" width="5.88671875" customWidth="1"/>
    <col min="78" max="78" width="3" customWidth="1"/>
    <col min="79" max="80" width="5.88671875" customWidth="1"/>
    <col min="81" max="81" width="1.5546875" customWidth="1"/>
    <col min="82" max="82" width="5.88671875" customWidth="1"/>
    <col min="83" max="83" width="3" customWidth="1"/>
    <col min="84" max="85" width="5.88671875" customWidth="1"/>
    <col min="86" max="86" width="1.5546875" customWidth="1"/>
    <col min="87" max="87" width="5.88671875" customWidth="1"/>
    <col min="88" max="88" width="3" customWidth="1"/>
    <col min="89" max="90" width="5.88671875" customWidth="1"/>
    <col min="91" max="91" width="1.5546875" customWidth="1"/>
    <col min="92" max="92" width="5.88671875" customWidth="1"/>
    <col min="93" max="93" width="3" customWidth="1"/>
    <col min="94" max="95" width="5.88671875" customWidth="1"/>
    <col min="96" max="96" width="1.5546875" customWidth="1"/>
    <col min="97" max="97" width="5.88671875" customWidth="1"/>
    <col min="98" max="98" width="3" customWidth="1"/>
    <col min="99" max="100" width="5.88671875" customWidth="1"/>
    <col min="101" max="101" width="1.5546875" customWidth="1"/>
    <col min="102" max="102" width="5.88671875" customWidth="1"/>
    <col min="103" max="103" width="3" customWidth="1"/>
    <col min="104" max="105" width="5.88671875" customWidth="1"/>
    <col min="106" max="106" width="1.5546875" customWidth="1"/>
    <col min="107" max="107" width="5.88671875" customWidth="1"/>
    <col min="108" max="108" width="3" customWidth="1"/>
    <col min="109" max="110" width="5.88671875" customWidth="1"/>
    <col min="111" max="111" width="1.5546875" customWidth="1"/>
    <col min="112" max="112" width="5.88671875" customWidth="1"/>
    <col min="113" max="113" width="3" customWidth="1"/>
    <col min="114" max="115" width="5.88671875" customWidth="1"/>
    <col min="116" max="116" width="1.5546875" customWidth="1"/>
    <col min="117" max="117" width="5.88671875" customWidth="1"/>
    <col min="118" max="118" width="3" customWidth="1"/>
    <col min="119" max="120" width="5.88671875" customWidth="1"/>
    <col min="121" max="121" width="1.5546875" customWidth="1"/>
    <col min="122" max="122" width="5.88671875" customWidth="1"/>
    <col min="123" max="123" width="3" customWidth="1"/>
    <col min="124" max="125" width="5.88671875" customWidth="1"/>
    <col min="126" max="126" width="1.5546875" customWidth="1"/>
    <col min="127" max="127" width="5.88671875" customWidth="1"/>
    <col min="128" max="128" width="3" customWidth="1"/>
    <col min="129" max="130" width="5.88671875" customWidth="1"/>
    <col min="131" max="131" width="1.5546875" customWidth="1"/>
    <col min="132" max="132" width="5.88671875" customWidth="1"/>
    <col min="133" max="133" width="3" customWidth="1"/>
    <col min="134" max="135" width="5.88671875" customWidth="1"/>
    <col min="136" max="136" width="1.5546875" customWidth="1"/>
    <col min="137" max="137" width="5.88671875" customWidth="1"/>
    <col min="138" max="138" width="3" customWidth="1"/>
    <col min="139" max="140" width="5.88671875" customWidth="1"/>
    <col min="141" max="141" width="1.5546875" customWidth="1"/>
    <col min="142" max="145" width="5.88671875" customWidth="1"/>
    <col min="146" max="146" width="1.5546875" customWidth="1"/>
    <col min="147" max="150" width="5.88671875" customWidth="1"/>
    <col min="151" max="151" width="1.5546875" customWidth="1"/>
    <col min="152" max="152" width="5.88671875" customWidth="1"/>
    <col min="153" max="153" width="3" customWidth="1"/>
    <col min="154" max="154" width="5.88671875" customWidth="1"/>
    <col min="155" max="155" width="6" customWidth="1"/>
    <col min="156" max="156" width="1.5546875" customWidth="1"/>
    <col min="157" max="157" width="10.88671875" customWidth="1"/>
  </cols>
  <sheetData>
    <row r="1" spans="1:157" ht="17.399999999999999">
      <c r="A1" s="331"/>
      <c r="B1" s="301"/>
      <c r="C1" s="301"/>
      <c r="D1" s="301"/>
      <c r="E1" s="301"/>
      <c r="F1" s="166"/>
      <c r="G1" s="323" t="s">
        <v>0</v>
      </c>
      <c r="H1" s="301"/>
      <c r="I1" s="301"/>
      <c r="J1" s="2" t="s">
        <v>14</v>
      </c>
      <c r="K1" s="167"/>
      <c r="L1" s="323" t="s">
        <v>1</v>
      </c>
      <c r="M1" s="301"/>
      <c r="N1" s="301"/>
      <c r="O1" s="3" t="str">
        <f>J1</f>
        <v>Pts.</v>
      </c>
      <c r="P1" s="167"/>
      <c r="Q1" s="323" t="s">
        <v>2</v>
      </c>
      <c r="R1" s="301"/>
      <c r="S1" s="301"/>
      <c r="T1" s="3" t="str">
        <f>J1</f>
        <v>Pts.</v>
      </c>
      <c r="U1" s="167"/>
      <c r="V1" s="323" t="s">
        <v>3</v>
      </c>
      <c r="W1" s="301"/>
      <c r="X1" s="301"/>
      <c r="Y1" s="3" t="str">
        <f>J1</f>
        <v>Pts.</v>
      </c>
      <c r="Z1" s="167"/>
      <c r="AA1" s="323" t="s">
        <v>4</v>
      </c>
      <c r="AB1" s="301"/>
      <c r="AC1" s="301"/>
      <c r="AD1" s="3" t="str">
        <f>J1</f>
        <v>Pts.</v>
      </c>
      <c r="AE1" s="167"/>
      <c r="AF1" s="323" t="s">
        <v>5</v>
      </c>
      <c r="AG1" s="301"/>
      <c r="AH1" s="301"/>
      <c r="AI1" s="3" t="str">
        <f>J1</f>
        <v>Pts.</v>
      </c>
      <c r="AJ1" s="167"/>
      <c r="AK1" s="323" t="s">
        <v>6</v>
      </c>
      <c r="AL1" s="301"/>
      <c r="AM1" s="301"/>
      <c r="AN1" s="3" t="str">
        <f>J1</f>
        <v>Pts.</v>
      </c>
      <c r="AO1" s="167"/>
      <c r="AP1" s="323" t="s">
        <v>73</v>
      </c>
      <c r="AQ1" s="301"/>
      <c r="AR1" s="301"/>
      <c r="AS1" s="3" t="str">
        <f>J1</f>
        <v>Pts.</v>
      </c>
      <c r="AT1" s="167"/>
      <c r="AU1" s="323" t="s">
        <v>8</v>
      </c>
      <c r="AV1" s="301"/>
      <c r="AW1" s="301"/>
      <c r="AX1" s="3" t="str">
        <f>J1</f>
        <v>Pts.</v>
      </c>
      <c r="AY1" s="168"/>
      <c r="AZ1" s="323" t="s">
        <v>9</v>
      </c>
      <c r="BA1" s="301"/>
      <c r="BB1" s="301"/>
      <c r="BC1" s="3" t="str">
        <f>J1</f>
        <v>Pts.</v>
      </c>
      <c r="BD1" s="169"/>
      <c r="BE1" s="323" t="s">
        <v>10</v>
      </c>
      <c r="BF1" s="301"/>
      <c r="BG1" s="301"/>
      <c r="BH1" s="7" t="str">
        <f>J1</f>
        <v>Pts.</v>
      </c>
      <c r="BI1" s="169"/>
      <c r="BJ1" s="323" t="s">
        <v>11</v>
      </c>
      <c r="BK1" s="301"/>
      <c r="BL1" s="301"/>
      <c r="BM1" s="7" t="str">
        <f>J1</f>
        <v>Pts.</v>
      </c>
      <c r="BN1" s="169"/>
      <c r="BO1" s="323" t="s">
        <v>12</v>
      </c>
      <c r="BP1" s="301"/>
      <c r="BQ1" s="301"/>
      <c r="BR1" s="7" t="str">
        <f>J1</f>
        <v>Pts.</v>
      </c>
      <c r="BS1" s="169"/>
      <c r="BT1" s="323" t="s">
        <v>13</v>
      </c>
      <c r="BU1" s="301"/>
      <c r="BV1" s="301"/>
      <c r="BW1" s="7" t="str">
        <f>J1</f>
        <v>Pts.</v>
      </c>
      <c r="BX1" s="166"/>
      <c r="BY1" s="323"/>
      <c r="BZ1" s="301"/>
      <c r="CA1" s="301"/>
      <c r="CB1" s="3" t="str">
        <f>J1</f>
        <v>Pts.</v>
      </c>
      <c r="CC1" s="170"/>
      <c r="CD1" s="323"/>
      <c r="CE1" s="301"/>
      <c r="CF1" s="301"/>
      <c r="CG1" s="3" t="str">
        <f>J1</f>
        <v>Pts.</v>
      </c>
      <c r="CH1" s="170"/>
      <c r="CI1" s="323"/>
      <c r="CJ1" s="301"/>
      <c r="CK1" s="301"/>
      <c r="CL1" s="3" t="str">
        <f>J1</f>
        <v>Pts.</v>
      </c>
      <c r="CM1" s="170"/>
      <c r="CN1" s="323"/>
      <c r="CO1" s="301"/>
      <c r="CP1" s="301"/>
      <c r="CQ1" s="3" t="str">
        <f>J1</f>
        <v>Pts.</v>
      </c>
      <c r="CR1" s="170"/>
      <c r="CS1" s="323"/>
      <c r="CT1" s="301"/>
      <c r="CU1" s="301"/>
      <c r="CV1" s="3" t="str">
        <f>J1</f>
        <v>Pts.</v>
      </c>
      <c r="CW1" s="170"/>
      <c r="CX1" s="323"/>
      <c r="CY1" s="301"/>
      <c r="CZ1" s="301"/>
      <c r="DA1" s="3" t="str">
        <f>J1</f>
        <v>Pts.</v>
      </c>
      <c r="DB1" s="170"/>
      <c r="DC1" s="323"/>
      <c r="DD1" s="301"/>
      <c r="DE1" s="301"/>
      <c r="DF1" s="3" t="str">
        <f>J1</f>
        <v>Pts.</v>
      </c>
      <c r="DG1" s="170"/>
      <c r="DH1" s="323"/>
      <c r="DI1" s="301"/>
      <c r="DJ1" s="301"/>
      <c r="DK1" s="3" t="str">
        <f>J1</f>
        <v>Pts.</v>
      </c>
      <c r="DL1" s="170"/>
      <c r="DM1" s="323"/>
      <c r="DN1" s="301"/>
      <c r="DO1" s="301"/>
      <c r="DP1" s="3" t="str">
        <f>J1</f>
        <v>Pts.</v>
      </c>
      <c r="DQ1" s="170"/>
      <c r="DR1" s="323"/>
      <c r="DS1" s="301"/>
      <c r="DT1" s="301"/>
      <c r="DU1" s="3" t="str">
        <f>J1</f>
        <v>Pts.</v>
      </c>
      <c r="DV1" s="170"/>
      <c r="DW1" s="323"/>
      <c r="DX1" s="301"/>
      <c r="DY1" s="301"/>
      <c r="DZ1" s="3" t="str">
        <f>J1</f>
        <v>Pts.</v>
      </c>
      <c r="EA1" s="166"/>
      <c r="EB1" s="323"/>
      <c r="EC1" s="301"/>
      <c r="ED1" s="301"/>
      <c r="EE1" s="3" t="str">
        <f>J1</f>
        <v>Pts.</v>
      </c>
      <c r="EF1" s="166"/>
      <c r="EG1" s="323"/>
      <c r="EH1" s="301"/>
      <c r="EI1" s="301"/>
      <c r="EJ1" s="3" t="str">
        <f>J1</f>
        <v>Pts.</v>
      </c>
      <c r="EK1" s="166"/>
      <c r="EL1" s="323"/>
      <c r="EM1" s="301"/>
      <c r="EN1" s="301"/>
      <c r="EO1" s="3" t="str">
        <f>J1</f>
        <v>Pts.</v>
      </c>
      <c r="EP1" s="166"/>
      <c r="EQ1" s="323"/>
      <c r="ER1" s="301"/>
      <c r="ES1" s="301"/>
      <c r="ET1" s="3" t="str">
        <f>J1</f>
        <v>Pts.</v>
      </c>
      <c r="EU1" s="166"/>
      <c r="EV1" s="323"/>
      <c r="EW1" s="301"/>
      <c r="EX1" s="301"/>
      <c r="EY1" s="7" t="str">
        <f>J1</f>
        <v>Pts.</v>
      </c>
      <c r="EZ1" s="166"/>
      <c r="FA1" s="8"/>
    </row>
    <row r="2" spans="1:157" ht="17.399999999999999">
      <c r="A2" s="324" t="s">
        <v>15</v>
      </c>
      <c r="B2" s="301"/>
      <c r="C2" s="301"/>
      <c r="D2" s="301"/>
      <c r="E2" s="301"/>
      <c r="F2" s="166"/>
      <c r="G2" s="324"/>
      <c r="H2" s="301"/>
      <c r="I2" s="301"/>
      <c r="J2" s="171"/>
      <c r="K2" s="167"/>
      <c r="L2" s="324"/>
      <c r="M2" s="301"/>
      <c r="N2" s="301"/>
      <c r="O2" s="171"/>
      <c r="P2" s="167"/>
      <c r="Q2" s="324"/>
      <c r="R2" s="301"/>
      <c r="S2" s="301"/>
      <c r="T2" s="171"/>
      <c r="U2" s="167"/>
      <c r="V2" s="324"/>
      <c r="W2" s="301"/>
      <c r="X2" s="301"/>
      <c r="Y2" s="171"/>
      <c r="Z2" s="167"/>
      <c r="AA2" s="324"/>
      <c r="AB2" s="301"/>
      <c r="AC2" s="301"/>
      <c r="AD2" s="171"/>
      <c r="AE2" s="167"/>
      <c r="AF2" s="324"/>
      <c r="AG2" s="301"/>
      <c r="AH2" s="301"/>
      <c r="AI2" s="171"/>
      <c r="AJ2" s="167"/>
      <c r="AK2" s="324"/>
      <c r="AL2" s="301"/>
      <c r="AM2" s="301"/>
      <c r="AN2" s="171"/>
      <c r="AO2" s="167"/>
      <c r="AP2" s="324"/>
      <c r="AQ2" s="301"/>
      <c r="AR2" s="301"/>
      <c r="AS2" s="171"/>
      <c r="AT2" s="167"/>
      <c r="AU2" s="324"/>
      <c r="AV2" s="301"/>
      <c r="AW2" s="301"/>
      <c r="AX2" s="171"/>
      <c r="AY2" s="168"/>
      <c r="AZ2" s="324"/>
      <c r="BA2" s="301"/>
      <c r="BB2" s="301"/>
      <c r="BC2" s="171"/>
      <c r="BD2" s="169"/>
      <c r="BE2" s="324"/>
      <c r="BF2" s="301"/>
      <c r="BG2" s="301"/>
      <c r="BH2" s="171"/>
      <c r="BI2" s="169"/>
      <c r="BJ2" s="324"/>
      <c r="BK2" s="301"/>
      <c r="BL2" s="301"/>
      <c r="BM2" s="171"/>
      <c r="BN2" s="169"/>
      <c r="BO2" s="324"/>
      <c r="BP2" s="301"/>
      <c r="BQ2" s="301"/>
      <c r="BR2" s="9"/>
      <c r="BS2" s="169"/>
      <c r="BT2" s="324"/>
      <c r="BU2" s="301"/>
      <c r="BV2" s="301"/>
      <c r="BW2" s="9"/>
      <c r="BX2" s="166"/>
      <c r="BY2" s="340"/>
      <c r="BZ2" s="301"/>
      <c r="CA2" s="301"/>
      <c r="CB2" s="172"/>
      <c r="CC2" s="170"/>
      <c r="CD2" s="340"/>
      <c r="CE2" s="301"/>
      <c r="CF2" s="301"/>
      <c r="CG2" s="172"/>
      <c r="CH2" s="170"/>
      <c r="CI2" s="340"/>
      <c r="CJ2" s="301"/>
      <c r="CK2" s="301"/>
      <c r="CL2" s="172"/>
      <c r="CM2" s="170"/>
      <c r="CN2" s="340"/>
      <c r="CO2" s="301"/>
      <c r="CP2" s="301"/>
      <c r="CQ2" s="172"/>
      <c r="CR2" s="170"/>
      <c r="CS2" s="340"/>
      <c r="CT2" s="301"/>
      <c r="CU2" s="301"/>
      <c r="CV2" s="172"/>
      <c r="CW2" s="170"/>
      <c r="CX2" s="340"/>
      <c r="CY2" s="301"/>
      <c r="CZ2" s="301"/>
      <c r="DA2" s="172"/>
      <c r="DB2" s="170"/>
      <c r="DC2" s="340"/>
      <c r="DD2" s="301"/>
      <c r="DE2" s="301"/>
      <c r="DF2" s="172"/>
      <c r="DG2" s="170"/>
      <c r="DH2" s="340"/>
      <c r="DI2" s="301"/>
      <c r="DJ2" s="301"/>
      <c r="DK2" s="172"/>
      <c r="DL2" s="170"/>
      <c r="DM2" s="340"/>
      <c r="DN2" s="301"/>
      <c r="DO2" s="301"/>
      <c r="DP2" s="172"/>
      <c r="DQ2" s="170"/>
      <c r="DR2" s="340"/>
      <c r="DS2" s="301"/>
      <c r="DT2" s="301"/>
      <c r="DU2" s="172"/>
      <c r="DV2" s="170"/>
      <c r="DW2" s="340"/>
      <c r="DX2" s="301"/>
      <c r="DY2" s="301"/>
      <c r="DZ2" s="172"/>
      <c r="EA2" s="166"/>
      <c r="EB2" s="340"/>
      <c r="EC2" s="301"/>
      <c r="ED2" s="301"/>
      <c r="EE2" s="172"/>
      <c r="EF2" s="166"/>
      <c r="EG2" s="340"/>
      <c r="EH2" s="301"/>
      <c r="EI2" s="301"/>
      <c r="EJ2" s="172"/>
      <c r="EK2" s="166"/>
      <c r="EL2" s="340"/>
      <c r="EM2" s="301"/>
      <c r="EN2" s="301"/>
      <c r="EO2" s="172"/>
      <c r="EP2" s="166"/>
      <c r="EQ2" s="340"/>
      <c r="ER2" s="301"/>
      <c r="ES2" s="301"/>
      <c r="ET2" s="172"/>
      <c r="EU2" s="166"/>
      <c r="EV2" s="324"/>
      <c r="EW2" s="301"/>
      <c r="EX2" s="301"/>
      <c r="EY2" s="9"/>
      <c r="EZ2" s="166"/>
      <c r="FA2" s="8"/>
    </row>
    <row r="3" spans="1:157" ht="17.399999999999999">
      <c r="A3" s="12" t="s">
        <v>74</v>
      </c>
      <c r="B3" s="13"/>
      <c r="C3" s="14" t="s">
        <v>17</v>
      </c>
      <c r="D3" s="13"/>
      <c r="E3" s="12" t="s">
        <v>75</v>
      </c>
      <c r="F3" s="166"/>
      <c r="G3" s="15"/>
      <c r="H3" s="16" t="s">
        <v>17</v>
      </c>
      <c r="I3" s="15"/>
      <c r="J3" s="17" t="str">
        <f t="shared" ref="J3:J8" si="0">IF(OR(B3="", D3=""), "-",
  IF(OR(G3="", I3=""), 0,
    IF(AND(G3=B3, I3=D3), 10,
      IF(AND(OR(AND(B3&gt;D3, G3&gt;I3), AND(B3&lt;D3, G3&lt;I3), AND(B3=D3, G3=I3)), OR(G3=B3, I3=D3)), 7,
        IF(OR(AND(B3&gt;D3, G3&gt;I3), AND(B3&lt;D3, G3&lt;I3), AND(B3=D3, G3=I3)), 5,
          IF(OR(G3=B3, I3=D3), 2, 0)
        )
      )
    )
  )
)</f>
        <v>-</v>
      </c>
      <c r="K3" s="173"/>
      <c r="L3" s="15"/>
      <c r="M3" s="16" t="s">
        <v>17</v>
      </c>
      <c r="N3" s="15"/>
      <c r="O3" s="17" t="str">
        <f t="shared" ref="O3:O8" si="1">IF(OR(B3="", D3=""), "-",
  IF(OR(L3="", N3=""), 0,
    IF(AND(L3=B3, N3=D3), 10,
      IF(AND(OR(AND(B3&gt;D3, L3&gt;N3), AND(B3&lt;D3, L3&lt;N3), AND(B3=D3, L3=N3)), OR(L3=B3, N3=D3)), 7,
        IF(OR(AND(B3&gt;D3, L3&gt;N3), AND(B3&lt;D3, L3&lt;N3), AND(B3=D3, L3=N3)), 5,
          IF(OR(L3=B3, N3=D3), 2, 0)
        )
      )
    )
  )
)</f>
        <v>-</v>
      </c>
      <c r="P3" s="173"/>
      <c r="Q3" s="15"/>
      <c r="R3" s="16" t="s">
        <v>17</v>
      </c>
      <c r="S3" s="15"/>
      <c r="T3" s="17" t="str">
        <f t="shared" ref="T3:T8" si="2">IF(OR(B3="", D3=""), "-",
  IF(OR(Q3="", S3=""), 0,
    IF(AND(Q3=B3, S3=D3), 10,
      IF(AND(OR(AND(B3&gt;D3, Q3&gt;S3), AND(B3&lt;D3, Q3&lt;S3), AND(B3=D3, Q3=S3)), OR(Q3=B3, S3=D3)), 7,
        IF(OR(AND(B3&gt;D3, Q3&gt;S3), AND(B3&lt;D3, Q3&lt;S3), AND(B3=D3, Q3=S3)), 5,
          IF(OR(Q3=B3, S3=D3), 2, 0)
        )
      )
    )
  )
)</f>
        <v>-</v>
      </c>
      <c r="U3" s="173"/>
      <c r="V3" s="15"/>
      <c r="W3" s="16" t="s">
        <v>17</v>
      </c>
      <c r="X3" s="15"/>
      <c r="Y3" s="17" t="str">
        <f t="shared" ref="Y3:Y8" si="3">IF(OR(B3="", D3=""), "-",
  IF(OR(V3="", X3=""), 0,
    IF(AND(V3=B3, X3=D3), 10,
      IF(AND(OR(AND(B3&gt;D3, V3&gt;X3), AND(B3&lt;D3, V3&lt;X3), AND(B3=D3, V3=X3)), OR(V3=B3, X3=D3)), 7,
        IF(OR(AND(B3&gt;D3, V3&gt;X3), AND(B3&lt;D3, V3&lt;X3), AND(B3=D3, V3=X3)), 5,
          IF(OR(V3=B3, X3=D3), 2, 0)
        )
      )
    )
  )
)</f>
        <v>-</v>
      </c>
      <c r="Z3" s="173"/>
      <c r="AA3" s="15"/>
      <c r="AB3" s="16" t="s">
        <v>17</v>
      </c>
      <c r="AC3" s="15"/>
      <c r="AD3" s="17" t="str">
        <f t="shared" ref="AD3:AD8" si="4">IF(OR(B3="", D3=""), "-",
  IF(OR(AA3="", AC3=""), 0,
    IF(AND(AA3=B3, AC3=D3), 10,
      IF(AND(OR(AND(B3&gt;D3, AA3&gt;AC3), AND(B3&lt;D3, AA3&lt;AC3), AND(B3=D3, AA3=AC3)), OR(AA3=B3, AC3=D3)), 7,
        IF(OR(AND(B3&gt;D3, AA3&gt;AC3), AND(B3&lt;D3, AA3&lt;AC3), AND(B3=D3, AA3=AC3)), 5,
          IF(OR(AA3=B3, AC3=D3), 2, 0)
        )
      )
    )
  )
)</f>
        <v>-</v>
      </c>
      <c r="AE3" s="173"/>
      <c r="AF3" s="15"/>
      <c r="AG3" s="16" t="s">
        <v>17</v>
      </c>
      <c r="AH3" s="15"/>
      <c r="AI3" s="17" t="str">
        <f t="shared" ref="AI3:AI8" si="5">IF(OR(B3="", D3=""), "-",
  IF(OR(AF3="", AH3=""), 0,
    IF(AND(AF3=B3, AH3=D3), 10,
      IF(AND(OR(AND(B3&gt;D3, AF3&gt;AH3), AND(B3&lt;D3, AF3&lt;AH3), AND(B3=D3, AF3=AH3)), OR(AF3=B3, AH3=D3)), 7,
        IF(OR(AND(B3&gt;D3, AF3&gt;AH3), AND(B3&lt;D3, AF3&lt;AH3), AND(B3=D3, AF3=AH3)), 5,
          IF(OR(AF3=B3, AH3=D3), 2, 0)
        )
      )
    )
  )
)</f>
        <v>-</v>
      </c>
      <c r="AJ3" s="173"/>
      <c r="AK3" s="15"/>
      <c r="AL3" s="16" t="s">
        <v>17</v>
      </c>
      <c r="AM3" s="15"/>
      <c r="AN3" s="17" t="str">
        <f t="shared" ref="AN3:AN8" si="6">IF(OR(B3="", D3=""), "-",
  IF(OR(AK3="", AM3=""), 0,
    IF(AND(AK3=B3, AM3=D3), 10,
      IF(AND(OR(AND(B3&gt;D3, AK3&gt;AM3), AND(B3&lt;D3, AK3&lt;AM3), AND(B3=D3, AK3=AM3)), OR(AK3=B3, AM3=D3)), 7,
        IF(OR(AND(B3&gt;D3, AK3&gt;AM3), AND(B3&lt;D3, AK3&lt;AM3), AND(B3=D3, AK3=AM3)), 5,
          IF(OR(AK3=B3, AM3=D3), 2, 0)
        )
      )
    )
  )
)</f>
        <v>-</v>
      </c>
      <c r="AO3" s="173"/>
      <c r="AP3" s="15"/>
      <c r="AQ3" s="16" t="s">
        <v>17</v>
      </c>
      <c r="AR3" s="15"/>
      <c r="AS3" s="17" t="str">
        <f t="shared" ref="AS3:AS8" si="7">IF(OR(B3="", D3=""), "-",
  IF(OR(AP3="", AR3=""), 0,
    IF(AND(AP3=B3, AR3=D3), 10,
      IF(AND(OR(AND(B3&gt;D3, AP3&gt;AR3), AND(B3&lt;D3, AP3&lt;AR3), AND(B3=D3, AP3=AR3)), OR(AP3=B3, AR3=D3)), 7,
        IF(OR(AND(B3&gt;D3, AP3&gt;AR3), AND(B3&lt;D3, AP3&lt;AR3), AND(B3=D3, AP3=AR3)), 5,
          IF(OR(AP3=B3, AR3=D3), 2, 0)
        )
      )
    )
  )
)</f>
        <v>-</v>
      </c>
      <c r="AT3" s="173"/>
      <c r="AU3" s="15"/>
      <c r="AV3" s="16" t="s">
        <v>17</v>
      </c>
      <c r="AW3" s="15"/>
      <c r="AX3" s="17" t="str">
        <f t="shared" ref="AX3:AX8" si="8">IF(OR(B3="", D3=""), "-",
  IF(OR(AU3="", AW3=""), 0,
    IF(AND(AU3=B3, AW3=D3), 10,
      IF(AND(OR(AND(B3&gt;D3, AU3&gt;AW3), AND(B3&lt;D3, AU3&lt;AW3), AND(B3=D3, AU3=AW3)), OR(AU3=B3, AW3=D3)), 7,
        IF(OR(AND(B3&gt;D3, AU3&gt;AW3), AND(B3&lt;D3, AU3&lt;AW3), AND(B3=D3, AU3=AW3)), 5,
          IF(OR(AU3=B3, AW3=D3), 2, 0)
        )
      )
    )
  )
)</f>
        <v>-</v>
      </c>
      <c r="AY3" s="168"/>
      <c r="AZ3" s="15"/>
      <c r="BA3" s="16" t="s">
        <v>17</v>
      </c>
      <c r="BB3" s="15"/>
      <c r="BC3" s="17" t="str">
        <f t="shared" ref="BC3:BC8" si="9">IF(OR(B3="", D3=""), "-",
  IF(OR(AZ3="", BB3=""), 0,
    IF(AND(AZ3=B3, BB3=D3), 10,
      IF(AND(OR(AND(B3&gt;D3, AZ3&gt;BB3), AND(B3&lt;D3, AZ3&lt;BB3), AND(B3=D3, AZ3=BB3)), OR(AZ3=B3, BB3=D3)), 7,
        IF(OR(AND(B3&gt;D3, AZ3&gt;BB3), AND(B3&lt;D3, AZ3&lt;BB3), AND(B3=D3, AZ3=BB3)), 5,
          IF(OR(AZ3=B3, BB3=D3), 2, 0)
        )
      )
    )
  )
)</f>
        <v>-</v>
      </c>
      <c r="BD3" s="169"/>
      <c r="BE3" s="15"/>
      <c r="BF3" s="174" t="s">
        <v>17</v>
      </c>
      <c r="BG3" s="15"/>
      <c r="BH3" s="19" t="str">
        <f t="shared" ref="BH3:BH8" si="10">IF(OR(B3="", D3=""), "-",
  IF(OR(BE3="", BG3=""), 0,
    IF(AND(BE3=B3, BG3=D3), 10,
      IF(AND(OR(AND(B3&gt;D3, BE3&gt;BG3), AND(B3&lt;D3, BE3&lt;BG3), AND(B3=D3, BE3=BG3)), OR(BE3=B3, BG3=D3)), 7,
        IF(OR(AND(B3&gt;D3, BE3&gt;BG3), AND(B3&lt;D3, BE3&lt;BG3), AND(B3=D3, BE3=BG3)), 5,
          IF(OR(BE3=B3, BG3=D3), 2, 0)
        )
      )
    )
  )
)</f>
        <v>-</v>
      </c>
      <c r="BI3" s="169"/>
      <c r="BJ3" s="15"/>
      <c r="BK3" s="174" t="s">
        <v>17</v>
      </c>
      <c r="BL3" s="15"/>
      <c r="BM3" s="19" t="str">
        <f t="shared" ref="BM3:BM8" si="11">IF(OR(B3="", D3=""), "-",
  IF(OR(BJ3="", BL3=""), 0,
    IF(AND(BJ3=B3, BL3=D3), 10,
      IF(AND(OR(AND(B3&gt;D3, BJ3&gt;BL3), AND(B3&lt;D3, BJ3&lt;BL3), AND(B3=D3, BJ3=BL3)), OR(BJ3=B3, BL3=D3)), 7,
        IF(OR(AND(B3&gt;D3, BJ3&gt;BL3), AND(B3&lt;D3, BJ3&lt;BL3), AND(B3=D3, BJ3=BL3)), 5,
          IF(OR(BJ3=B3, BL3=D3), 2, 0)
        )
      )
    )
  )
)</f>
        <v>-</v>
      </c>
      <c r="BN3" s="169"/>
      <c r="BO3" s="15"/>
      <c r="BP3" s="174" t="s">
        <v>17</v>
      </c>
      <c r="BQ3" s="15"/>
      <c r="BR3" s="19" t="str">
        <f t="shared" ref="BR3:BR8" si="12">IF(OR(B3="", D3=""), "-",
  IF(OR(BO3="", BQ3=""), 0,
    IF(AND(BO3=B3, BQ3=D3), 10,
      IF(AND(OR(AND(B3&gt;D3, BO3&gt;BQ3), AND(B3&lt;D3, BO3&lt;BQ3), AND(B3=D3, BO3=BQ3)), OR(BO3=B3, BQ3=D3)), 7,
        IF(OR(AND(B3&gt;D3, BO3&gt;BQ3), AND(B3&lt;D3, BO3&lt;BQ3), AND(B3=D3, BO3=BQ3)), 5,
          IF(OR(BO3=B3, BQ3=D3), 2, 0)
        )
      )
    )
  )
)</f>
        <v>-</v>
      </c>
      <c r="BS3" s="169"/>
      <c r="BT3" s="15"/>
      <c r="BU3" s="174" t="s">
        <v>17</v>
      </c>
      <c r="BV3" s="15"/>
      <c r="BW3" s="19" t="str">
        <f t="shared" ref="BW3:BW8" si="13">IF(OR(B3="", D3=""), "-",
  IF(OR(BT3="", BV3=""), 0,
    IF(AND(BT3=B3, BV3=D3), 10,
      IF(AND(OR(AND(B3&gt;D3, BT3&gt;BV3), AND(B3&lt;D3, BT3&lt;BV3), AND(B3=D3, BT3=BV3)), OR(BT3=B3, BV3=D3)), 7,
        IF(OR(AND(B3&gt;D3, BT3&gt;BV3), AND(B3&lt;D3, BT3&lt;BV3), AND(B3=D3, BT3=BV3)), 5,
          IF(OR(BT3=B3, BV3=D3), 2, 0)
        )
      )
    )
  )
)</f>
        <v>-</v>
      </c>
      <c r="BX3" s="166"/>
      <c r="BY3" s="175"/>
      <c r="BZ3" s="16" t="s">
        <v>17</v>
      </c>
      <c r="CA3" s="175"/>
      <c r="CB3" s="17" t="str">
        <f t="shared" ref="CB3:CB8" si="14">IF(OR(B3="", D3=""), "-",
  IF(OR(BY3="", CA3=""), 0,
    IF(AND(BY3=B3, CA3=D3), 10,
      IF(AND(OR(AND(B3&gt;D3, BY3&gt;CA3), AND(B3&lt;D3, BY3&lt;CA3), AND(B3=D3, BY3=CA3)), OR(BY3=B3, CA3=D3)), 7,
        IF(OR(AND(B3&gt;D3, BY3&gt;CA3), AND(B3&lt;D3, BY3&lt;CA3), AND(B3=D3, BY3=CA3)), 5,
          IF(OR(BY3=B3, CA3=D3), 2, 0)
        )
      )
    )
  )
)</f>
        <v>-</v>
      </c>
      <c r="CC3" s="170"/>
      <c r="CD3" s="175"/>
      <c r="CE3" s="16" t="s">
        <v>17</v>
      </c>
      <c r="CF3" s="175"/>
      <c r="CG3" s="17" t="str">
        <f t="shared" ref="CG3:CG8" si="15">IF(OR(B3="", D3=""), "-",
  IF(OR(CD3="", CF3=""), 0,
    IF(AND(CD3=B3, CF3=D3), 10,
      IF(AND(OR(AND(B3&gt;D3, CD3&gt;CF3), AND(B3&lt;D3, CD3&lt;CF3), AND(B3=D3, CD3=CF3)), OR(CD3=B3, CF3=D3)), 7,
        IF(OR(AND(B3&gt;D3, CD3&gt;CF3), AND(B3&lt;D3, CD3&lt;CF3), AND(B3=D3, CD3=CF3)), 5,
          IF(OR(CD3=B3, CF3=D3), 2, 0)
        )
      )
    )
  )
)</f>
        <v>-</v>
      </c>
      <c r="CH3" s="170"/>
      <c r="CI3" s="175"/>
      <c r="CJ3" s="16" t="s">
        <v>17</v>
      </c>
      <c r="CK3" s="175"/>
      <c r="CL3" s="17" t="str">
        <f t="shared" ref="CL3:CL8" si="16">IF(OR(B3="", D3=""), "-",
  IF(OR(CI3="", CK3=""), 0,
    IF(AND(CI3=B3, CK3=D3), 10,
      IF(AND(OR(AND(B3&gt;D3, CI3&gt;CK3), AND(B3&lt;D3, CI3&lt;CK3), AND(B3=D3, CI3=CK3)), OR(CI3=B3, CK3=D3)), 7,
        IF(OR(AND(B3&gt;D3, CI3&gt;CK3), AND(B3&lt;D3, CI3&lt;CK3), AND(B3=D3, CI3=CK3)), 5,
          IF(OR(CI3=B3, CK3=D3), 2, 0)
        )
      )
    )
  )
)</f>
        <v>-</v>
      </c>
      <c r="CM3" s="170"/>
      <c r="CN3" s="175"/>
      <c r="CO3" s="16" t="s">
        <v>17</v>
      </c>
      <c r="CP3" s="175"/>
      <c r="CQ3" s="17" t="str">
        <f t="shared" ref="CQ3:CQ8" si="17">IF(OR(B3="", D3=""), "-",
  IF(OR(CN3="", CP3=""), 0,
    IF(AND(CN3=B3, CP3=D3), 10,
      IF(AND(OR(AND(B3&gt;D3, CN3&gt;CP3), AND(B3&lt;D3, CN3&lt;CP3), AND(B3=D3, CN3=CP3)), OR(CN3=B3, CP3=D3)), 7,
        IF(OR(AND(B3&gt;D3, CN3&gt;CP3), AND(B3&lt;D3, CN3&lt;CP3), AND(B3=D3, CN3=CP3)), 5,
          IF(OR(CN3=B3, CP3=D3), 2, 0)
        )
      )
    )
  )
)</f>
        <v>-</v>
      </c>
      <c r="CR3" s="170"/>
      <c r="CS3" s="175"/>
      <c r="CT3" s="16" t="s">
        <v>17</v>
      </c>
      <c r="CU3" s="175"/>
      <c r="CV3" s="17" t="str">
        <f t="shared" ref="CV3:CV8" si="18">IF(OR(B3="", D3=""), "-",
  IF(OR(CS3="", CU3=""), 0,
    IF(AND(CS3=B3, CU3=D3), 10,
      IF(AND(OR(AND(B3&gt;D3, CS3&gt;CU3), AND(B3&lt;D3, CS3&lt;CU3), AND(B3=D3, CS3=CU3)), OR(CS3=B3, CU3=D3)), 7,
        IF(OR(AND(B3&gt;D3, CS3&gt;CU3), AND(B3&lt;D3, CS3&lt;CU3), AND(B3=D3, CS3=CU3)), 5,
          IF(OR(CS3=B3, CU3=D3), 2, 0)
        )
      )
    )
  )
)</f>
        <v>-</v>
      </c>
      <c r="CW3" s="170"/>
      <c r="CX3" s="175"/>
      <c r="CY3" s="16" t="s">
        <v>17</v>
      </c>
      <c r="CZ3" s="175"/>
      <c r="DA3" s="17" t="str">
        <f t="shared" ref="DA3:DA8" si="19">IF(OR(B3="", D3=""), "-",
  IF(OR(CX3="", CZ3=""), 0,
    IF(AND(CX3=B3, CZ3=D3), 10,
      IF(AND(OR(AND(B3&gt;D3, CX3&gt;CZ3), AND(B3&lt;D3, CX3&lt;CZ3), AND(B3=D3, CX3=CZ3)), OR(CX3=B3, CZ3=D3)), 7,
        IF(OR(AND(B3&gt;D3, CX3&gt;CZ3), AND(B3&lt;D3, CX3&lt;CZ3), AND(B3=D3, CX3=CZ3)), 5,
          IF(OR(CX3=B3, CZ3=D3), 2, 0)
        )
      )
    )
  )
)</f>
        <v>-</v>
      </c>
      <c r="DB3" s="170"/>
      <c r="DC3" s="175"/>
      <c r="DD3" s="16" t="s">
        <v>17</v>
      </c>
      <c r="DE3" s="175"/>
      <c r="DF3" s="17" t="str">
        <f t="shared" ref="DF3:DF8" si="20">IF(OR(B3="", D3=""), "-",
  IF(OR(DC3="", DE3=""), 0,
    IF(AND(DC3=B3, DE3=D3), 10,
      IF(AND(OR(AND(B3&gt;D3, DC3&gt;DE3), AND(B3&lt;D3, DC3&lt;DE3), AND(B3=D3, DC3=DE3)), OR(DC3=B3, DE3=D3)), 7,
        IF(OR(AND(B3&gt;D3, DC3&gt;DE3), AND(B3&lt;D3, DC3&lt;DE3), AND(B3=D3, DC3=DE3)), 5,
          IF(OR(DC3=B3, DE3=D3), 2, 0)
        )
      )
    )
  )
)</f>
        <v>-</v>
      </c>
      <c r="DG3" s="170"/>
      <c r="DH3" s="175"/>
      <c r="DI3" s="16" t="s">
        <v>17</v>
      </c>
      <c r="DJ3" s="175"/>
      <c r="DK3" s="17" t="str">
        <f t="shared" ref="DK3:DK8" si="21">IF(OR(B3="", D3=""), "-",
  IF(OR(DH3="", DJ3=""), 0,
    IF(AND(DH3=B3, DJ3=D3), 10,
      IF(AND(OR(AND(B3&gt;D3, DH3&gt;DJ3), AND(B3&lt;D3, DH3&lt;DJ3), AND(B3=D3, DH3=DJ3)), OR(DH3=B3, DJ3=D3)), 7,
        IF(OR(AND(B3&gt;D3, DH3&gt;DJ3), AND(B3&lt;D3, DH3&lt;DJ3), AND(B3=D3, DH3=DJ3)), 5,
          IF(OR(DH3=B3, DJ3=D3), 2, 0)
        )
      )
    )
  )
)</f>
        <v>-</v>
      </c>
      <c r="DL3" s="170"/>
      <c r="DM3" s="175"/>
      <c r="DN3" s="16" t="s">
        <v>17</v>
      </c>
      <c r="DO3" s="175"/>
      <c r="DP3" s="17" t="str">
        <f t="shared" ref="DP3:DP8" si="22">IF(OR(B3="", D3=""), "-",
  IF(OR(DM3="", DO3=""), 0,
    IF(AND(DM3=B3, DO3=D3), 10,
      IF(AND(OR(AND(B3&gt;D3, DM3&gt;DO3), AND(B3&lt;D3, DM3&lt;DO3), AND(B3=D3, DM3=DO3)), OR(DM3=B3, DO3=D3)), 7,
        IF(OR(AND(B3&gt;D3, DM3&gt;DO3), AND(B3&lt;D3, DM3&lt;DO3), AND(B3=D3, DM3=DO3)), 5,
          IF(OR(DM3=B3, DO3=D3), 2, 0)
        )
      )
    )
  )
)</f>
        <v>-</v>
      </c>
      <c r="DQ3" s="170"/>
      <c r="DR3" s="175"/>
      <c r="DS3" s="16" t="s">
        <v>17</v>
      </c>
      <c r="DT3" s="175"/>
      <c r="DU3" s="17" t="str">
        <f t="shared" ref="DU3:DU8" si="23">IF(OR(B3="", D3=""), "-",
  IF(OR(DR3="", DT3=""), 0,
    IF(AND(DR3=B3, DT3=D3), 10,
      IF(AND(OR(AND(B3&gt;D3, DR3&gt;DT3), AND(B3&lt;D3, DR3&lt;DT3), AND(B3=D3, DR3=DT3)), OR(DR3=B3, DT3=D3)), 7,
        IF(OR(AND(B3&gt;D3, DR3&gt;DT3), AND(B3&lt;D3, DR3&lt;DT3), AND(B3=D3, DR3=DT3)), 5,
          IF(OR(DR3=B3, DT3=D3), 2, 0)
        )
      )
    )
  )
)</f>
        <v>-</v>
      </c>
      <c r="DV3" s="170"/>
      <c r="DW3" s="175"/>
      <c r="DX3" s="16" t="s">
        <v>17</v>
      </c>
      <c r="DY3" s="175"/>
      <c r="DZ3" s="17" t="str">
        <f t="shared" ref="DZ3:DZ8" si="24">IF(OR(B3="", D3=""), "-",
  IF(OR(DW3="", DY3=""), 0,
    IF(AND(DW3=B3, DY3=D3), 10,
      IF(AND(OR(AND(B3&gt;D3, DW3&gt;DY3), AND(B3&lt;D3, DW3&lt;DY3), AND(B3=D3, DW3=DY3)), OR(DW3=B3, DY3=D3)), 7,
        IF(OR(AND(B3&gt;D3, DW3&gt;DY3), AND(B3&lt;D3, DW3&lt;DY3), AND(B3=D3, DW3=DY3)), 5,
          IF(OR(DW3=B3, DY3=D3), 2, 0)
        )
      )
    )
  )
)</f>
        <v>-</v>
      </c>
      <c r="EA3" s="166"/>
      <c r="EB3" s="175"/>
      <c r="EC3" s="16" t="s">
        <v>17</v>
      </c>
      <c r="ED3" s="175"/>
      <c r="EE3" s="17" t="str">
        <f t="shared" ref="EE3:EE8" si="25">IF(OR(B3="", D3=""), "-",
  IF(OR(EB3="", ED3=""), 0,
    IF(AND(EB3=B3, ED3=D3), 10,
      IF(AND(OR(AND(B3&gt;D3, EB3&gt;ED3), AND(B3&lt;D3, EB3&lt;ED3), AND(B3=D3, EB3=ED3)), OR(EB3=B3, ED3=D3)), 7,
        IF(OR(AND(B3&gt;D3, EB3&gt;ED3), AND(B3&lt;D3, EB3&lt;ED3), AND(B3=D3, EB3=ED3)), 5,
          IF(OR(EB3=B3, ED3=D3), 2, 0)
        )
      )
    )
  )
)</f>
        <v>-</v>
      </c>
      <c r="EF3" s="166"/>
      <c r="EG3" s="175"/>
      <c r="EH3" s="16" t="s">
        <v>17</v>
      </c>
      <c r="EI3" s="175"/>
      <c r="EJ3" s="17" t="str">
        <f t="shared" ref="EJ3:EJ8" si="26">IF(OR(B3="", D3=""), "-",
  IF(OR(EG3="", EI3=""), 0,
    IF(AND(EG3=B3, EI3=D3), 10,
      IF(AND(OR(AND(B3&gt;D3, EG3&gt;EI3), AND(B3&lt;D3, EG3&lt;EI3), AND(B3=D3, EG3=EI3)), OR(EG3=B3, EI3=D3)), 7,
        IF(OR(AND(B3&gt;D3, EG3&gt;EI3), AND(B3&lt;D3, EG3&lt;EI3), AND(B3=D3, EG3=EI3)), 5,
          IF(OR(EG3=B3, EI3=D3), 2, 0)
        )
      )
    )
  )
)</f>
        <v>-</v>
      </c>
      <c r="EK3" s="166"/>
      <c r="EL3" s="175"/>
      <c r="EM3" s="16" t="s">
        <v>17</v>
      </c>
      <c r="EN3" s="175"/>
      <c r="EO3" s="17" t="str">
        <f t="shared" ref="EO3:EO8" si="27">IF(OR(B3="", D3=""), "-",
  IF(OR(EL3="", EN3=""), 0,
    IF(AND(EL3=B3, EN3=D3), 10,
      IF(AND(OR(AND(B3&gt;D3, EL3&gt;EN3), AND(B3&lt;D3, EL3&lt;EN3), AND(B3=D3, EL3=EN3)), OR(EL3=B3, EN3=D3)), 7,
        IF(OR(AND(B3&gt;D3, EL3&gt;EN3), AND(B3&lt;D3, EL3&lt;EN3), AND(B3=D3, EL3=EN3)), 5,
          IF(OR(EL3=B3, EN3=D3), 2, 0)
        )
      )
    )
  )
)</f>
        <v>-</v>
      </c>
      <c r="EP3" s="166"/>
      <c r="EQ3" s="175"/>
      <c r="ER3" s="16" t="s">
        <v>17</v>
      </c>
      <c r="ES3" s="175"/>
      <c r="ET3" s="17" t="str">
        <f t="shared" ref="ET3:ET8" si="28">IF(OR(B3="", D3=""), "-",
  IF(OR(EQ3="", ES3=""), 0,
    IF(AND(EQ3=B3, ES3=D3), 10,
      IF(AND(OR(AND(B3&gt;D3, EQ3&gt;ES3), AND(B3&lt;D3, EQ3&lt;ES3), AND(B3=D3, EQ3=ES3)), OR(EQ3=B3, ES3=D3)), 7,
        IF(OR(AND(B3&gt;D3, EQ3&gt;ES3), AND(B3&lt;D3, EQ3&lt;ES3), AND(B3=D3, EQ3=ES3)), 5,
          IF(OR(EQ3=B3, ES3=D3), 2, 0)
        )
      )
    )
  )
)</f>
        <v>-</v>
      </c>
      <c r="EU3" s="166"/>
      <c r="EV3" s="15"/>
      <c r="EW3" s="174" t="s">
        <v>17</v>
      </c>
      <c r="EX3" s="15"/>
      <c r="EY3" s="19" t="str">
        <f t="shared" ref="EY3:EY8" si="29">IF(OR(B3="", D3=""), "-",
  IF(OR(EV3="", EX3=""), 0,
    IF(AND(EV3=B3, EX3=D3), 10,
      IF(AND(OR(AND(B3&gt;D3, EV3&gt;EX3), AND(B3&lt;D3, EV3&lt;EX3), AND(B3=D3, EV3=EX3)), OR(EV3=B3, EX3=D3)), 7,
        IF(OR(AND(B3&gt;D3, EV3&gt;EX3), AND(B3&lt;D3, EV3&lt;EX3), AND(B3=D3, EV3=EX3)), 5,
          IF(OR(EV3=B3, EX3=D3), 2, 0)
        )
      )
    )
  )
)</f>
        <v>-</v>
      </c>
      <c r="EZ3" s="166"/>
      <c r="FA3" s="8"/>
    </row>
    <row r="4" spans="1:157" ht="17.399999999999999">
      <c r="A4" s="20" t="s">
        <v>76</v>
      </c>
      <c r="B4" s="21"/>
      <c r="C4" s="22" t="s">
        <v>17</v>
      </c>
      <c r="D4" s="21"/>
      <c r="E4" s="20" t="s">
        <v>77</v>
      </c>
      <c r="F4" s="166"/>
      <c r="G4" s="23"/>
      <c r="H4" s="24" t="s">
        <v>17</v>
      </c>
      <c r="I4" s="23"/>
      <c r="J4" s="25" t="str">
        <f t="shared" si="0"/>
        <v>-</v>
      </c>
      <c r="K4" s="173"/>
      <c r="L4" s="23"/>
      <c r="M4" s="24" t="s">
        <v>17</v>
      </c>
      <c r="N4" s="23"/>
      <c r="O4" s="25" t="str">
        <f t="shared" si="1"/>
        <v>-</v>
      </c>
      <c r="P4" s="173"/>
      <c r="Q4" s="23"/>
      <c r="R4" s="24" t="s">
        <v>17</v>
      </c>
      <c r="S4" s="23"/>
      <c r="T4" s="25" t="str">
        <f t="shared" si="2"/>
        <v>-</v>
      </c>
      <c r="U4" s="173"/>
      <c r="V4" s="23"/>
      <c r="W4" s="24" t="s">
        <v>17</v>
      </c>
      <c r="X4" s="23"/>
      <c r="Y4" s="25" t="str">
        <f t="shared" si="3"/>
        <v>-</v>
      </c>
      <c r="Z4" s="173"/>
      <c r="AA4" s="23"/>
      <c r="AB4" s="24" t="s">
        <v>17</v>
      </c>
      <c r="AC4" s="23"/>
      <c r="AD4" s="25" t="str">
        <f t="shared" si="4"/>
        <v>-</v>
      </c>
      <c r="AE4" s="173"/>
      <c r="AF4" s="23"/>
      <c r="AG4" s="24" t="s">
        <v>17</v>
      </c>
      <c r="AH4" s="23"/>
      <c r="AI4" s="25" t="str">
        <f t="shared" si="5"/>
        <v>-</v>
      </c>
      <c r="AJ4" s="173"/>
      <c r="AK4" s="23"/>
      <c r="AL4" s="24" t="s">
        <v>17</v>
      </c>
      <c r="AM4" s="23"/>
      <c r="AN4" s="25" t="str">
        <f t="shared" si="6"/>
        <v>-</v>
      </c>
      <c r="AO4" s="173"/>
      <c r="AP4" s="23"/>
      <c r="AQ4" s="24" t="s">
        <v>17</v>
      </c>
      <c r="AR4" s="23"/>
      <c r="AS4" s="25" t="str">
        <f t="shared" si="7"/>
        <v>-</v>
      </c>
      <c r="AT4" s="173"/>
      <c r="AU4" s="23"/>
      <c r="AV4" s="24" t="s">
        <v>17</v>
      </c>
      <c r="AW4" s="23"/>
      <c r="AX4" s="25" t="str">
        <f t="shared" si="8"/>
        <v>-</v>
      </c>
      <c r="AY4" s="168"/>
      <c r="AZ4" s="23"/>
      <c r="BA4" s="24" t="s">
        <v>17</v>
      </c>
      <c r="BB4" s="23"/>
      <c r="BC4" s="25" t="str">
        <f t="shared" si="9"/>
        <v>-</v>
      </c>
      <c r="BD4" s="169"/>
      <c r="BE4" s="23"/>
      <c r="BF4" s="176" t="s">
        <v>17</v>
      </c>
      <c r="BG4" s="23"/>
      <c r="BH4" s="26" t="str">
        <f t="shared" si="10"/>
        <v>-</v>
      </c>
      <c r="BI4" s="169"/>
      <c r="BJ4" s="23"/>
      <c r="BK4" s="176" t="s">
        <v>17</v>
      </c>
      <c r="BL4" s="23"/>
      <c r="BM4" s="26" t="str">
        <f t="shared" si="11"/>
        <v>-</v>
      </c>
      <c r="BN4" s="169"/>
      <c r="BO4" s="23"/>
      <c r="BP4" s="176" t="s">
        <v>17</v>
      </c>
      <c r="BQ4" s="23"/>
      <c r="BR4" s="26" t="str">
        <f t="shared" si="12"/>
        <v>-</v>
      </c>
      <c r="BS4" s="169"/>
      <c r="BT4" s="23"/>
      <c r="BU4" s="176" t="s">
        <v>17</v>
      </c>
      <c r="BV4" s="23"/>
      <c r="BW4" s="26" t="str">
        <f t="shared" si="13"/>
        <v>-</v>
      </c>
      <c r="BX4" s="166"/>
      <c r="BY4" s="177"/>
      <c r="BZ4" s="24" t="s">
        <v>17</v>
      </c>
      <c r="CA4" s="177"/>
      <c r="CB4" s="25" t="str">
        <f t="shared" si="14"/>
        <v>-</v>
      </c>
      <c r="CC4" s="170"/>
      <c r="CD4" s="177"/>
      <c r="CE4" s="24" t="s">
        <v>17</v>
      </c>
      <c r="CF4" s="177"/>
      <c r="CG4" s="25" t="str">
        <f t="shared" si="15"/>
        <v>-</v>
      </c>
      <c r="CH4" s="170"/>
      <c r="CI4" s="177"/>
      <c r="CJ4" s="24" t="s">
        <v>17</v>
      </c>
      <c r="CK4" s="177"/>
      <c r="CL4" s="25" t="str">
        <f t="shared" si="16"/>
        <v>-</v>
      </c>
      <c r="CM4" s="170"/>
      <c r="CN4" s="177"/>
      <c r="CO4" s="24" t="s">
        <v>17</v>
      </c>
      <c r="CP4" s="177"/>
      <c r="CQ4" s="25" t="str">
        <f t="shared" si="17"/>
        <v>-</v>
      </c>
      <c r="CR4" s="170"/>
      <c r="CS4" s="177"/>
      <c r="CT4" s="24" t="s">
        <v>17</v>
      </c>
      <c r="CU4" s="177"/>
      <c r="CV4" s="25" t="str">
        <f t="shared" si="18"/>
        <v>-</v>
      </c>
      <c r="CW4" s="170"/>
      <c r="CX4" s="177"/>
      <c r="CY4" s="24" t="s">
        <v>17</v>
      </c>
      <c r="CZ4" s="177"/>
      <c r="DA4" s="25" t="str">
        <f t="shared" si="19"/>
        <v>-</v>
      </c>
      <c r="DB4" s="170"/>
      <c r="DC4" s="177"/>
      <c r="DD4" s="24" t="s">
        <v>17</v>
      </c>
      <c r="DE4" s="177"/>
      <c r="DF4" s="25" t="str">
        <f t="shared" si="20"/>
        <v>-</v>
      </c>
      <c r="DG4" s="170"/>
      <c r="DH4" s="177"/>
      <c r="DI4" s="24" t="s">
        <v>17</v>
      </c>
      <c r="DJ4" s="177"/>
      <c r="DK4" s="25" t="str">
        <f t="shared" si="21"/>
        <v>-</v>
      </c>
      <c r="DL4" s="170"/>
      <c r="DM4" s="177"/>
      <c r="DN4" s="24" t="s">
        <v>17</v>
      </c>
      <c r="DO4" s="177"/>
      <c r="DP4" s="25" t="str">
        <f t="shared" si="22"/>
        <v>-</v>
      </c>
      <c r="DQ4" s="170"/>
      <c r="DR4" s="177"/>
      <c r="DS4" s="24" t="s">
        <v>17</v>
      </c>
      <c r="DT4" s="177"/>
      <c r="DU4" s="25" t="str">
        <f t="shared" si="23"/>
        <v>-</v>
      </c>
      <c r="DV4" s="170"/>
      <c r="DW4" s="177"/>
      <c r="DX4" s="24" t="s">
        <v>17</v>
      </c>
      <c r="DY4" s="177"/>
      <c r="DZ4" s="25" t="str">
        <f t="shared" si="24"/>
        <v>-</v>
      </c>
      <c r="EA4" s="166"/>
      <c r="EB4" s="177"/>
      <c r="EC4" s="24" t="s">
        <v>17</v>
      </c>
      <c r="ED4" s="177"/>
      <c r="EE4" s="25" t="str">
        <f t="shared" si="25"/>
        <v>-</v>
      </c>
      <c r="EF4" s="166"/>
      <c r="EG4" s="177"/>
      <c r="EH4" s="24" t="s">
        <v>17</v>
      </c>
      <c r="EI4" s="177"/>
      <c r="EJ4" s="25" t="str">
        <f t="shared" si="26"/>
        <v>-</v>
      </c>
      <c r="EK4" s="166"/>
      <c r="EL4" s="177"/>
      <c r="EM4" s="24" t="s">
        <v>17</v>
      </c>
      <c r="EN4" s="177"/>
      <c r="EO4" s="25" t="str">
        <f t="shared" si="27"/>
        <v>-</v>
      </c>
      <c r="EP4" s="166"/>
      <c r="EQ4" s="177"/>
      <c r="ER4" s="24" t="s">
        <v>17</v>
      </c>
      <c r="ES4" s="177"/>
      <c r="ET4" s="25" t="str">
        <f t="shared" si="28"/>
        <v>-</v>
      </c>
      <c r="EU4" s="166"/>
      <c r="EV4" s="23"/>
      <c r="EW4" s="176" t="s">
        <v>17</v>
      </c>
      <c r="EX4" s="23"/>
      <c r="EY4" s="26" t="str">
        <f t="shared" si="29"/>
        <v>-</v>
      </c>
      <c r="EZ4" s="166"/>
      <c r="FA4" s="8"/>
    </row>
    <row r="5" spans="1:157" ht="17.399999999999999">
      <c r="A5" s="12" t="s">
        <v>77</v>
      </c>
      <c r="B5" s="13"/>
      <c r="C5" s="14" t="s">
        <v>17</v>
      </c>
      <c r="D5" s="13"/>
      <c r="E5" s="12" t="s">
        <v>75</v>
      </c>
      <c r="F5" s="166"/>
      <c r="G5" s="15"/>
      <c r="H5" s="16" t="s">
        <v>17</v>
      </c>
      <c r="I5" s="15"/>
      <c r="J5" s="17" t="str">
        <f t="shared" si="0"/>
        <v>-</v>
      </c>
      <c r="K5" s="173"/>
      <c r="L5" s="15"/>
      <c r="M5" s="16" t="s">
        <v>17</v>
      </c>
      <c r="N5" s="15"/>
      <c r="O5" s="17" t="str">
        <f t="shared" si="1"/>
        <v>-</v>
      </c>
      <c r="P5" s="173"/>
      <c r="Q5" s="15"/>
      <c r="R5" s="16" t="s">
        <v>17</v>
      </c>
      <c r="S5" s="15"/>
      <c r="T5" s="17" t="str">
        <f t="shared" si="2"/>
        <v>-</v>
      </c>
      <c r="U5" s="173"/>
      <c r="V5" s="15"/>
      <c r="W5" s="16" t="s">
        <v>17</v>
      </c>
      <c r="X5" s="15"/>
      <c r="Y5" s="17" t="str">
        <f t="shared" si="3"/>
        <v>-</v>
      </c>
      <c r="Z5" s="173"/>
      <c r="AA5" s="15"/>
      <c r="AB5" s="16" t="s">
        <v>17</v>
      </c>
      <c r="AC5" s="15"/>
      <c r="AD5" s="17" t="str">
        <f t="shared" si="4"/>
        <v>-</v>
      </c>
      <c r="AE5" s="173"/>
      <c r="AF5" s="15"/>
      <c r="AG5" s="16" t="s">
        <v>17</v>
      </c>
      <c r="AH5" s="15"/>
      <c r="AI5" s="17" t="str">
        <f t="shared" si="5"/>
        <v>-</v>
      </c>
      <c r="AJ5" s="173"/>
      <c r="AK5" s="15"/>
      <c r="AL5" s="16" t="s">
        <v>17</v>
      </c>
      <c r="AM5" s="15"/>
      <c r="AN5" s="17" t="str">
        <f t="shared" si="6"/>
        <v>-</v>
      </c>
      <c r="AO5" s="173"/>
      <c r="AP5" s="15"/>
      <c r="AQ5" s="16" t="s">
        <v>17</v>
      </c>
      <c r="AR5" s="15"/>
      <c r="AS5" s="17" t="str">
        <f t="shared" si="7"/>
        <v>-</v>
      </c>
      <c r="AT5" s="173"/>
      <c r="AU5" s="15"/>
      <c r="AV5" s="16" t="s">
        <v>17</v>
      </c>
      <c r="AW5" s="15"/>
      <c r="AX5" s="17" t="str">
        <f t="shared" si="8"/>
        <v>-</v>
      </c>
      <c r="AY5" s="168"/>
      <c r="AZ5" s="15"/>
      <c r="BA5" s="16" t="s">
        <v>17</v>
      </c>
      <c r="BB5" s="15"/>
      <c r="BC5" s="17" t="str">
        <f t="shared" si="9"/>
        <v>-</v>
      </c>
      <c r="BD5" s="169"/>
      <c r="BE5" s="15"/>
      <c r="BF5" s="174" t="s">
        <v>17</v>
      </c>
      <c r="BG5" s="15"/>
      <c r="BH5" s="19" t="str">
        <f t="shared" si="10"/>
        <v>-</v>
      </c>
      <c r="BI5" s="169"/>
      <c r="BJ5" s="15"/>
      <c r="BK5" s="174" t="s">
        <v>17</v>
      </c>
      <c r="BL5" s="15"/>
      <c r="BM5" s="19" t="str">
        <f t="shared" si="11"/>
        <v>-</v>
      </c>
      <c r="BN5" s="169"/>
      <c r="BO5" s="15"/>
      <c r="BP5" s="174" t="s">
        <v>17</v>
      </c>
      <c r="BQ5" s="15"/>
      <c r="BR5" s="19" t="str">
        <f t="shared" si="12"/>
        <v>-</v>
      </c>
      <c r="BS5" s="169"/>
      <c r="BT5" s="15"/>
      <c r="BU5" s="174" t="s">
        <v>17</v>
      </c>
      <c r="BV5" s="15"/>
      <c r="BW5" s="19" t="str">
        <f t="shared" si="13"/>
        <v>-</v>
      </c>
      <c r="BX5" s="166"/>
      <c r="BY5" s="175"/>
      <c r="BZ5" s="16" t="s">
        <v>17</v>
      </c>
      <c r="CA5" s="175"/>
      <c r="CB5" s="17" t="str">
        <f t="shared" si="14"/>
        <v>-</v>
      </c>
      <c r="CC5" s="170"/>
      <c r="CD5" s="175"/>
      <c r="CE5" s="16" t="s">
        <v>17</v>
      </c>
      <c r="CF5" s="175"/>
      <c r="CG5" s="17" t="str">
        <f t="shared" si="15"/>
        <v>-</v>
      </c>
      <c r="CH5" s="170"/>
      <c r="CI5" s="175"/>
      <c r="CJ5" s="16" t="s">
        <v>17</v>
      </c>
      <c r="CK5" s="175"/>
      <c r="CL5" s="17" t="str">
        <f t="shared" si="16"/>
        <v>-</v>
      </c>
      <c r="CM5" s="170"/>
      <c r="CN5" s="175"/>
      <c r="CO5" s="16" t="s">
        <v>17</v>
      </c>
      <c r="CP5" s="175"/>
      <c r="CQ5" s="17" t="str">
        <f t="shared" si="17"/>
        <v>-</v>
      </c>
      <c r="CR5" s="170"/>
      <c r="CS5" s="175"/>
      <c r="CT5" s="16" t="s">
        <v>17</v>
      </c>
      <c r="CU5" s="175"/>
      <c r="CV5" s="17" t="str">
        <f t="shared" si="18"/>
        <v>-</v>
      </c>
      <c r="CW5" s="170"/>
      <c r="CX5" s="175"/>
      <c r="CY5" s="16" t="s">
        <v>17</v>
      </c>
      <c r="CZ5" s="175"/>
      <c r="DA5" s="17" t="str">
        <f t="shared" si="19"/>
        <v>-</v>
      </c>
      <c r="DB5" s="170"/>
      <c r="DC5" s="175"/>
      <c r="DD5" s="16" t="s">
        <v>17</v>
      </c>
      <c r="DE5" s="175"/>
      <c r="DF5" s="17" t="str">
        <f t="shared" si="20"/>
        <v>-</v>
      </c>
      <c r="DG5" s="170"/>
      <c r="DH5" s="175"/>
      <c r="DI5" s="16" t="s">
        <v>17</v>
      </c>
      <c r="DJ5" s="175"/>
      <c r="DK5" s="17" t="str">
        <f t="shared" si="21"/>
        <v>-</v>
      </c>
      <c r="DL5" s="170"/>
      <c r="DM5" s="175"/>
      <c r="DN5" s="16" t="s">
        <v>17</v>
      </c>
      <c r="DO5" s="175"/>
      <c r="DP5" s="17" t="str">
        <f t="shared" si="22"/>
        <v>-</v>
      </c>
      <c r="DQ5" s="170"/>
      <c r="DR5" s="175"/>
      <c r="DS5" s="16" t="s">
        <v>17</v>
      </c>
      <c r="DT5" s="175"/>
      <c r="DU5" s="17" t="str">
        <f t="shared" si="23"/>
        <v>-</v>
      </c>
      <c r="DV5" s="170"/>
      <c r="DW5" s="175"/>
      <c r="DX5" s="16" t="s">
        <v>17</v>
      </c>
      <c r="DY5" s="175"/>
      <c r="DZ5" s="17" t="str">
        <f t="shared" si="24"/>
        <v>-</v>
      </c>
      <c r="EA5" s="166"/>
      <c r="EB5" s="175"/>
      <c r="EC5" s="16" t="s">
        <v>17</v>
      </c>
      <c r="ED5" s="175"/>
      <c r="EE5" s="17" t="str">
        <f t="shared" si="25"/>
        <v>-</v>
      </c>
      <c r="EF5" s="166"/>
      <c r="EG5" s="175"/>
      <c r="EH5" s="16" t="s">
        <v>17</v>
      </c>
      <c r="EI5" s="175"/>
      <c r="EJ5" s="17" t="str">
        <f t="shared" si="26"/>
        <v>-</v>
      </c>
      <c r="EK5" s="166"/>
      <c r="EL5" s="175"/>
      <c r="EM5" s="16" t="s">
        <v>17</v>
      </c>
      <c r="EN5" s="175"/>
      <c r="EO5" s="17" t="str">
        <f t="shared" si="27"/>
        <v>-</v>
      </c>
      <c r="EP5" s="166"/>
      <c r="EQ5" s="175"/>
      <c r="ER5" s="16" t="s">
        <v>17</v>
      </c>
      <c r="ES5" s="175"/>
      <c r="ET5" s="17" t="str">
        <f t="shared" si="28"/>
        <v>-</v>
      </c>
      <c r="EU5" s="166"/>
      <c r="EV5" s="15"/>
      <c r="EW5" s="174" t="s">
        <v>17</v>
      </c>
      <c r="EX5" s="15"/>
      <c r="EY5" s="19" t="str">
        <f t="shared" si="29"/>
        <v>-</v>
      </c>
      <c r="EZ5" s="166"/>
      <c r="FA5" s="8"/>
    </row>
    <row r="6" spans="1:157" ht="17.399999999999999">
      <c r="A6" s="20" t="s">
        <v>74</v>
      </c>
      <c r="B6" s="21"/>
      <c r="C6" s="22" t="s">
        <v>17</v>
      </c>
      <c r="D6" s="21"/>
      <c r="E6" s="20" t="s">
        <v>76</v>
      </c>
      <c r="F6" s="166"/>
      <c r="G6" s="23"/>
      <c r="H6" s="24" t="s">
        <v>17</v>
      </c>
      <c r="I6" s="23"/>
      <c r="J6" s="25" t="str">
        <f t="shared" si="0"/>
        <v>-</v>
      </c>
      <c r="K6" s="178"/>
      <c r="L6" s="28"/>
      <c r="M6" s="24" t="s">
        <v>17</v>
      </c>
      <c r="N6" s="28"/>
      <c r="O6" s="25" t="str">
        <f t="shared" si="1"/>
        <v>-</v>
      </c>
      <c r="P6" s="178"/>
      <c r="Q6" s="28"/>
      <c r="R6" s="24" t="s">
        <v>17</v>
      </c>
      <c r="S6" s="28"/>
      <c r="T6" s="25" t="str">
        <f t="shared" si="2"/>
        <v>-</v>
      </c>
      <c r="U6" s="178"/>
      <c r="V6" s="28"/>
      <c r="W6" s="24" t="s">
        <v>17</v>
      </c>
      <c r="X6" s="28"/>
      <c r="Y6" s="25" t="str">
        <f t="shared" si="3"/>
        <v>-</v>
      </c>
      <c r="Z6" s="178"/>
      <c r="AA6" s="28"/>
      <c r="AB6" s="24" t="s">
        <v>17</v>
      </c>
      <c r="AC6" s="28"/>
      <c r="AD6" s="25" t="str">
        <f t="shared" si="4"/>
        <v>-</v>
      </c>
      <c r="AE6" s="173"/>
      <c r="AF6" s="28"/>
      <c r="AG6" s="24" t="s">
        <v>17</v>
      </c>
      <c r="AH6" s="28"/>
      <c r="AI6" s="25" t="str">
        <f t="shared" si="5"/>
        <v>-</v>
      </c>
      <c r="AJ6" s="178"/>
      <c r="AK6" s="28"/>
      <c r="AL6" s="24" t="s">
        <v>17</v>
      </c>
      <c r="AM6" s="28"/>
      <c r="AN6" s="25" t="str">
        <f t="shared" si="6"/>
        <v>-</v>
      </c>
      <c r="AO6" s="178"/>
      <c r="AP6" s="28"/>
      <c r="AQ6" s="24" t="s">
        <v>17</v>
      </c>
      <c r="AR6" s="28"/>
      <c r="AS6" s="25" t="str">
        <f t="shared" si="7"/>
        <v>-</v>
      </c>
      <c r="AT6" s="173"/>
      <c r="AU6" s="28"/>
      <c r="AV6" s="24" t="s">
        <v>17</v>
      </c>
      <c r="AW6" s="28"/>
      <c r="AX6" s="25" t="str">
        <f t="shared" si="8"/>
        <v>-</v>
      </c>
      <c r="AY6" s="168"/>
      <c r="AZ6" s="28"/>
      <c r="BA6" s="24" t="s">
        <v>17</v>
      </c>
      <c r="BB6" s="28"/>
      <c r="BC6" s="25" t="str">
        <f t="shared" si="9"/>
        <v>-</v>
      </c>
      <c r="BD6" s="169"/>
      <c r="BE6" s="28"/>
      <c r="BF6" s="176" t="s">
        <v>17</v>
      </c>
      <c r="BG6" s="28"/>
      <c r="BH6" s="26" t="str">
        <f t="shared" si="10"/>
        <v>-</v>
      </c>
      <c r="BI6" s="169"/>
      <c r="BJ6" s="28"/>
      <c r="BK6" s="176" t="s">
        <v>17</v>
      </c>
      <c r="BL6" s="28"/>
      <c r="BM6" s="26" t="str">
        <f t="shared" si="11"/>
        <v>-</v>
      </c>
      <c r="BN6" s="169"/>
      <c r="BO6" s="28"/>
      <c r="BP6" s="176" t="s">
        <v>17</v>
      </c>
      <c r="BQ6" s="28"/>
      <c r="BR6" s="26" t="str">
        <f t="shared" si="12"/>
        <v>-</v>
      </c>
      <c r="BS6" s="169"/>
      <c r="BT6" s="28"/>
      <c r="BU6" s="176" t="s">
        <v>17</v>
      </c>
      <c r="BV6" s="28"/>
      <c r="BW6" s="26" t="str">
        <f t="shared" si="13"/>
        <v>-</v>
      </c>
      <c r="BX6" s="166"/>
      <c r="BY6" s="177"/>
      <c r="BZ6" s="24" t="s">
        <v>17</v>
      </c>
      <c r="CA6" s="177"/>
      <c r="CB6" s="25" t="str">
        <f t="shared" si="14"/>
        <v>-</v>
      </c>
      <c r="CC6" s="170"/>
      <c r="CD6" s="177"/>
      <c r="CE6" s="24" t="s">
        <v>17</v>
      </c>
      <c r="CF6" s="177"/>
      <c r="CG6" s="25" t="str">
        <f t="shared" si="15"/>
        <v>-</v>
      </c>
      <c r="CH6" s="170"/>
      <c r="CI6" s="177"/>
      <c r="CJ6" s="24" t="s">
        <v>17</v>
      </c>
      <c r="CK6" s="177"/>
      <c r="CL6" s="25" t="str">
        <f t="shared" si="16"/>
        <v>-</v>
      </c>
      <c r="CM6" s="170"/>
      <c r="CN6" s="177"/>
      <c r="CO6" s="24" t="s">
        <v>17</v>
      </c>
      <c r="CP6" s="177"/>
      <c r="CQ6" s="25" t="str">
        <f t="shared" si="17"/>
        <v>-</v>
      </c>
      <c r="CR6" s="170"/>
      <c r="CS6" s="177"/>
      <c r="CT6" s="24" t="s">
        <v>17</v>
      </c>
      <c r="CU6" s="177"/>
      <c r="CV6" s="25" t="str">
        <f t="shared" si="18"/>
        <v>-</v>
      </c>
      <c r="CW6" s="170"/>
      <c r="CX6" s="177"/>
      <c r="CY6" s="24" t="s">
        <v>17</v>
      </c>
      <c r="CZ6" s="177"/>
      <c r="DA6" s="25" t="str">
        <f t="shared" si="19"/>
        <v>-</v>
      </c>
      <c r="DB6" s="170"/>
      <c r="DC6" s="177"/>
      <c r="DD6" s="24" t="s">
        <v>17</v>
      </c>
      <c r="DE6" s="177"/>
      <c r="DF6" s="25" t="str">
        <f t="shared" si="20"/>
        <v>-</v>
      </c>
      <c r="DG6" s="170"/>
      <c r="DH6" s="177"/>
      <c r="DI6" s="24" t="s">
        <v>17</v>
      </c>
      <c r="DJ6" s="177"/>
      <c r="DK6" s="25" t="str">
        <f t="shared" si="21"/>
        <v>-</v>
      </c>
      <c r="DL6" s="170"/>
      <c r="DM6" s="177"/>
      <c r="DN6" s="24" t="s">
        <v>17</v>
      </c>
      <c r="DO6" s="177"/>
      <c r="DP6" s="25" t="str">
        <f t="shared" si="22"/>
        <v>-</v>
      </c>
      <c r="DQ6" s="170"/>
      <c r="DR6" s="177"/>
      <c r="DS6" s="24" t="s">
        <v>17</v>
      </c>
      <c r="DT6" s="177"/>
      <c r="DU6" s="25" t="str">
        <f t="shared" si="23"/>
        <v>-</v>
      </c>
      <c r="DV6" s="170"/>
      <c r="DW6" s="177"/>
      <c r="DX6" s="24" t="s">
        <v>17</v>
      </c>
      <c r="DY6" s="177"/>
      <c r="DZ6" s="25" t="str">
        <f t="shared" si="24"/>
        <v>-</v>
      </c>
      <c r="EA6" s="166"/>
      <c r="EB6" s="177"/>
      <c r="EC6" s="24" t="s">
        <v>17</v>
      </c>
      <c r="ED6" s="177"/>
      <c r="EE6" s="25" t="str">
        <f t="shared" si="25"/>
        <v>-</v>
      </c>
      <c r="EF6" s="166"/>
      <c r="EG6" s="177"/>
      <c r="EH6" s="24" t="s">
        <v>17</v>
      </c>
      <c r="EI6" s="177"/>
      <c r="EJ6" s="25" t="str">
        <f t="shared" si="26"/>
        <v>-</v>
      </c>
      <c r="EK6" s="166"/>
      <c r="EL6" s="177"/>
      <c r="EM6" s="24" t="s">
        <v>17</v>
      </c>
      <c r="EN6" s="177"/>
      <c r="EO6" s="25" t="str">
        <f t="shared" si="27"/>
        <v>-</v>
      </c>
      <c r="EP6" s="166"/>
      <c r="EQ6" s="177"/>
      <c r="ER6" s="24" t="s">
        <v>17</v>
      </c>
      <c r="ES6" s="177"/>
      <c r="ET6" s="25" t="str">
        <f t="shared" si="28"/>
        <v>-</v>
      </c>
      <c r="EU6" s="166"/>
      <c r="EV6" s="28"/>
      <c r="EW6" s="176" t="s">
        <v>17</v>
      </c>
      <c r="EX6" s="28"/>
      <c r="EY6" s="26" t="str">
        <f t="shared" si="29"/>
        <v>-</v>
      </c>
      <c r="EZ6" s="166"/>
      <c r="FA6" s="8"/>
    </row>
    <row r="7" spans="1:157" ht="17.399999999999999">
      <c r="A7" s="12" t="s">
        <v>77</v>
      </c>
      <c r="B7" s="13"/>
      <c r="C7" s="14" t="s">
        <v>17</v>
      </c>
      <c r="D7" s="13"/>
      <c r="E7" s="12" t="s">
        <v>74</v>
      </c>
      <c r="F7" s="166"/>
      <c r="G7" s="15"/>
      <c r="H7" s="16" t="s">
        <v>17</v>
      </c>
      <c r="I7" s="15"/>
      <c r="J7" s="17" t="str">
        <f t="shared" si="0"/>
        <v>-</v>
      </c>
      <c r="K7" s="178"/>
      <c r="L7" s="29"/>
      <c r="M7" s="16" t="s">
        <v>17</v>
      </c>
      <c r="N7" s="29"/>
      <c r="O7" s="17" t="str">
        <f t="shared" si="1"/>
        <v>-</v>
      </c>
      <c r="P7" s="178"/>
      <c r="Q7" s="29"/>
      <c r="R7" s="16" t="s">
        <v>17</v>
      </c>
      <c r="S7" s="29"/>
      <c r="T7" s="17" t="str">
        <f t="shared" si="2"/>
        <v>-</v>
      </c>
      <c r="U7" s="178"/>
      <c r="V7" s="29"/>
      <c r="W7" s="16" t="s">
        <v>17</v>
      </c>
      <c r="X7" s="29"/>
      <c r="Y7" s="17" t="str">
        <f t="shared" si="3"/>
        <v>-</v>
      </c>
      <c r="Z7" s="178"/>
      <c r="AA7" s="29"/>
      <c r="AB7" s="16" t="s">
        <v>17</v>
      </c>
      <c r="AC7" s="29"/>
      <c r="AD7" s="17" t="str">
        <f t="shared" si="4"/>
        <v>-</v>
      </c>
      <c r="AE7" s="173"/>
      <c r="AF7" s="29"/>
      <c r="AG7" s="16" t="s">
        <v>17</v>
      </c>
      <c r="AH7" s="29"/>
      <c r="AI7" s="17" t="str">
        <f t="shared" si="5"/>
        <v>-</v>
      </c>
      <c r="AJ7" s="178"/>
      <c r="AK7" s="29"/>
      <c r="AL7" s="16" t="s">
        <v>17</v>
      </c>
      <c r="AM7" s="29"/>
      <c r="AN7" s="17" t="str">
        <f t="shared" si="6"/>
        <v>-</v>
      </c>
      <c r="AO7" s="178"/>
      <c r="AP7" s="29"/>
      <c r="AQ7" s="16" t="s">
        <v>17</v>
      </c>
      <c r="AR7" s="29"/>
      <c r="AS7" s="17" t="str">
        <f t="shared" si="7"/>
        <v>-</v>
      </c>
      <c r="AT7" s="173"/>
      <c r="AU7" s="29"/>
      <c r="AV7" s="16" t="s">
        <v>17</v>
      </c>
      <c r="AW7" s="29"/>
      <c r="AX7" s="17" t="str">
        <f t="shared" si="8"/>
        <v>-</v>
      </c>
      <c r="AY7" s="168"/>
      <c r="AZ7" s="29"/>
      <c r="BA7" s="16" t="s">
        <v>17</v>
      </c>
      <c r="BB7" s="29"/>
      <c r="BC7" s="17" t="str">
        <f t="shared" si="9"/>
        <v>-</v>
      </c>
      <c r="BD7" s="169"/>
      <c r="BE7" s="29"/>
      <c r="BF7" s="174" t="s">
        <v>17</v>
      </c>
      <c r="BG7" s="29"/>
      <c r="BH7" s="19" t="str">
        <f t="shared" si="10"/>
        <v>-</v>
      </c>
      <c r="BI7" s="169"/>
      <c r="BJ7" s="29"/>
      <c r="BK7" s="174" t="s">
        <v>17</v>
      </c>
      <c r="BL7" s="29"/>
      <c r="BM7" s="19" t="str">
        <f t="shared" si="11"/>
        <v>-</v>
      </c>
      <c r="BN7" s="169"/>
      <c r="BO7" s="29"/>
      <c r="BP7" s="174" t="s">
        <v>17</v>
      </c>
      <c r="BQ7" s="29"/>
      <c r="BR7" s="19" t="str">
        <f t="shared" si="12"/>
        <v>-</v>
      </c>
      <c r="BS7" s="169"/>
      <c r="BT7" s="29"/>
      <c r="BU7" s="174" t="s">
        <v>17</v>
      </c>
      <c r="BV7" s="29"/>
      <c r="BW7" s="19" t="str">
        <f t="shared" si="13"/>
        <v>-</v>
      </c>
      <c r="BX7" s="166"/>
      <c r="BY7" s="175"/>
      <c r="BZ7" s="16" t="s">
        <v>17</v>
      </c>
      <c r="CA7" s="175"/>
      <c r="CB7" s="17" t="str">
        <f t="shared" si="14"/>
        <v>-</v>
      </c>
      <c r="CC7" s="170"/>
      <c r="CD7" s="175"/>
      <c r="CE7" s="16" t="s">
        <v>17</v>
      </c>
      <c r="CF7" s="175"/>
      <c r="CG7" s="17" t="str">
        <f t="shared" si="15"/>
        <v>-</v>
      </c>
      <c r="CH7" s="170"/>
      <c r="CI7" s="175"/>
      <c r="CJ7" s="16" t="s">
        <v>17</v>
      </c>
      <c r="CK7" s="175"/>
      <c r="CL7" s="17" t="str">
        <f t="shared" si="16"/>
        <v>-</v>
      </c>
      <c r="CM7" s="170"/>
      <c r="CN7" s="175"/>
      <c r="CO7" s="16" t="s">
        <v>17</v>
      </c>
      <c r="CP7" s="175"/>
      <c r="CQ7" s="17" t="str">
        <f t="shared" si="17"/>
        <v>-</v>
      </c>
      <c r="CR7" s="170"/>
      <c r="CS7" s="175"/>
      <c r="CT7" s="16" t="s">
        <v>17</v>
      </c>
      <c r="CU7" s="175"/>
      <c r="CV7" s="17" t="str">
        <f t="shared" si="18"/>
        <v>-</v>
      </c>
      <c r="CW7" s="170"/>
      <c r="CX7" s="175"/>
      <c r="CY7" s="16" t="s">
        <v>17</v>
      </c>
      <c r="CZ7" s="175"/>
      <c r="DA7" s="17" t="str">
        <f t="shared" si="19"/>
        <v>-</v>
      </c>
      <c r="DB7" s="170"/>
      <c r="DC7" s="175"/>
      <c r="DD7" s="16" t="s">
        <v>17</v>
      </c>
      <c r="DE7" s="175"/>
      <c r="DF7" s="17" t="str">
        <f t="shared" si="20"/>
        <v>-</v>
      </c>
      <c r="DG7" s="170"/>
      <c r="DH7" s="175"/>
      <c r="DI7" s="16" t="s">
        <v>17</v>
      </c>
      <c r="DJ7" s="175"/>
      <c r="DK7" s="17" t="str">
        <f t="shared" si="21"/>
        <v>-</v>
      </c>
      <c r="DL7" s="170"/>
      <c r="DM7" s="175"/>
      <c r="DN7" s="16" t="s">
        <v>17</v>
      </c>
      <c r="DO7" s="175"/>
      <c r="DP7" s="17" t="str">
        <f t="shared" si="22"/>
        <v>-</v>
      </c>
      <c r="DQ7" s="170"/>
      <c r="DR7" s="175"/>
      <c r="DS7" s="16" t="s">
        <v>17</v>
      </c>
      <c r="DT7" s="175"/>
      <c r="DU7" s="17" t="str">
        <f t="shared" si="23"/>
        <v>-</v>
      </c>
      <c r="DV7" s="170"/>
      <c r="DW7" s="175"/>
      <c r="DX7" s="16" t="s">
        <v>17</v>
      </c>
      <c r="DY7" s="175"/>
      <c r="DZ7" s="17" t="str">
        <f t="shared" si="24"/>
        <v>-</v>
      </c>
      <c r="EA7" s="166"/>
      <c r="EB7" s="175"/>
      <c r="EC7" s="16" t="s">
        <v>17</v>
      </c>
      <c r="ED7" s="175"/>
      <c r="EE7" s="17" t="str">
        <f t="shared" si="25"/>
        <v>-</v>
      </c>
      <c r="EF7" s="166"/>
      <c r="EG7" s="175"/>
      <c r="EH7" s="16" t="s">
        <v>17</v>
      </c>
      <c r="EI7" s="175"/>
      <c r="EJ7" s="17" t="str">
        <f t="shared" si="26"/>
        <v>-</v>
      </c>
      <c r="EK7" s="166"/>
      <c r="EL7" s="175"/>
      <c r="EM7" s="16" t="s">
        <v>17</v>
      </c>
      <c r="EN7" s="175"/>
      <c r="EO7" s="17" t="str">
        <f t="shared" si="27"/>
        <v>-</v>
      </c>
      <c r="EP7" s="166"/>
      <c r="EQ7" s="175"/>
      <c r="ER7" s="16" t="s">
        <v>17</v>
      </c>
      <c r="ES7" s="175"/>
      <c r="ET7" s="17" t="str">
        <f t="shared" si="28"/>
        <v>-</v>
      </c>
      <c r="EU7" s="166"/>
      <c r="EV7" s="29"/>
      <c r="EW7" s="174" t="s">
        <v>17</v>
      </c>
      <c r="EX7" s="29"/>
      <c r="EY7" s="19" t="str">
        <f t="shared" si="29"/>
        <v>-</v>
      </c>
      <c r="EZ7" s="166"/>
      <c r="FA7" s="8"/>
    </row>
    <row r="8" spans="1:157" ht="17.399999999999999">
      <c r="A8" s="20" t="s">
        <v>75</v>
      </c>
      <c r="B8" s="21"/>
      <c r="C8" s="22" t="s">
        <v>17</v>
      </c>
      <c r="D8" s="21"/>
      <c r="E8" s="20" t="s">
        <v>76</v>
      </c>
      <c r="F8" s="166"/>
      <c r="G8" s="23"/>
      <c r="H8" s="24" t="s">
        <v>17</v>
      </c>
      <c r="I8" s="23"/>
      <c r="J8" s="25" t="str">
        <f t="shared" si="0"/>
        <v>-</v>
      </c>
      <c r="K8" s="178"/>
      <c r="L8" s="28"/>
      <c r="M8" s="24" t="s">
        <v>17</v>
      </c>
      <c r="N8" s="28"/>
      <c r="O8" s="25" t="str">
        <f t="shared" si="1"/>
        <v>-</v>
      </c>
      <c r="P8" s="178"/>
      <c r="Q8" s="28"/>
      <c r="R8" s="24" t="s">
        <v>17</v>
      </c>
      <c r="S8" s="28"/>
      <c r="T8" s="25" t="str">
        <f t="shared" si="2"/>
        <v>-</v>
      </c>
      <c r="U8" s="178"/>
      <c r="V8" s="28"/>
      <c r="W8" s="24" t="s">
        <v>17</v>
      </c>
      <c r="X8" s="28"/>
      <c r="Y8" s="25" t="str">
        <f t="shared" si="3"/>
        <v>-</v>
      </c>
      <c r="Z8" s="178"/>
      <c r="AA8" s="28"/>
      <c r="AB8" s="24" t="s">
        <v>17</v>
      </c>
      <c r="AC8" s="28"/>
      <c r="AD8" s="25" t="str">
        <f t="shared" si="4"/>
        <v>-</v>
      </c>
      <c r="AE8" s="173"/>
      <c r="AF8" s="28"/>
      <c r="AG8" s="24" t="s">
        <v>17</v>
      </c>
      <c r="AH8" s="28"/>
      <c r="AI8" s="25" t="str">
        <f t="shared" si="5"/>
        <v>-</v>
      </c>
      <c r="AJ8" s="178"/>
      <c r="AK8" s="28"/>
      <c r="AL8" s="24" t="s">
        <v>17</v>
      </c>
      <c r="AM8" s="28"/>
      <c r="AN8" s="25" t="str">
        <f t="shared" si="6"/>
        <v>-</v>
      </c>
      <c r="AO8" s="178"/>
      <c r="AP8" s="28"/>
      <c r="AQ8" s="24" t="s">
        <v>17</v>
      </c>
      <c r="AR8" s="28"/>
      <c r="AS8" s="25" t="str">
        <f t="shared" si="7"/>
        <v>-</v>
      </c>
      <c r="AT8" s="173"/>
      <c r="AU8" s="28"/>
      <c r="AV8" s="24" t="s">
        <v>17</v>
      </c>
      <c r="AW8" s="28"/>
      <c r="AX8" s="25" t="str">
        <f t="shared" si="8"/>
        <v>-</v>
      </c>
      <c r="AY8" s="168"/>
      <c r="AZ8" s="28"/>
      <c r="BA8" s="24" t="s">
        <v>17</v>
      </c>
      <c r="BB8" s="28"/>
      <c r="BC8" s="25" t="str">
        <f t="shared" si="9"/>
        <v>-</v>
      </c>
      <c r="BD8" s="169"/>
      <c r="BE8" s="28"/>
      <c r="BF8" s="176" t="s">
        <v>17</v>
      </c>
      <c r="BG8" s="28"/>
      <c r="BH8" s="26" t="str">
        <f t="shared" si="10"/>
        <v>-</v>
      </c>
      <c r="BI8" s="169"/>
      <c r="BJ8" s="28"/>
      <c r="BK8" s="176" t="s">
        <v>17</v>
      </c>
      <c r="BL8" s="28"/>
      <c r="BM8" s="26" t="str">
        <f t="shared" si="11"/>
        <v>-</v>
      </c>
      <c r="BN8" s="169"/>
      <c r="BO8" s="28"/>
      <c r="BP8" s="176" t="s">
        <v>17</v>
      </c>
      <c r="BQ8" s="28"/>
      <c r="BR8" s="26" t="str">
        <f t="shared" si="12"/>
        <v>-</v>
      </c>
      <c r="BS8" s="169"/>
      <c r="BT8" s="28"/>
      <c r="BU8" s="176" t="s">
        <v>17</v>
      </c>
      <c r="BV8" s="28"/>
      <c r="BW8" s="26" t="str">
        <f t="shared" si="13"/>
        <v>-</v>
      </c>
      <c r="BX8" s="166"/>
      <c r="BY8" s="177"/>
      <c r="BZ8" s="24" t="s">
        <v>17</v>
      </c>
      <c r="CA8" s="177"/>
      <c r="CB8" s="25" t="str">
        <f t="shared" si="14"/>
        <v>-</v>
      </c>
      <c r="CC8" s="170"/>
      <c r="CD8" s="177"/>
      <c r="CE8" s="24" t="s">
        <v>17</v>
      </c>
      <c r="CF8" s="177"/>
      <c r="CG8" s="25" t="str">
        <f t="shared" si="15"/>
        <v>-</v>
      </c>
      <c r="CH8" s="170"/>
      <c r="CI8" s="177"/>
      <c r="CJ8" s="24" t="s">
        <v>17</v>
      </c>
      <c r="CK8" s="177"/>
      <c r="CL8" s="25" t="str">
        <f t="shared" si="16"/>
        <v>-</v>
      </c>
      <c r="CM8" s="170"/>
      <c r="CN8" s="177"/>
      <c r="CO8" s="24" t="s">
        <v>17</v>
      </c>
      <c r="CP8" s="177"/>
      <c r="CQ8" s="25" t="str">
        <f t="shared" si="17"/>
        <v>-</v>
      </c>
      <c r="CR8" s="170"/>
      <c r="CS8" s="177"/>
      <c r="CT8" s="24" t="s">
        <v>17</v>
      </c>
      <c r="CU8" s="177"/>
      <c r="CV8" s="25" t="str">
        <f t="shared" si="18"/>
        <v>-</v>
      </c>
      <c r="CW8" s="170"/>
      <c r="CX8" s="177"/>
      <c r="CY8" s="24" t="s">
        <v>17</v>
      </c>
      <c r="CZ8" s="177"/>
      <c r="DA8" s="25" t="str">
        <f t="shared" si="19"/>
        <v>-</v>
      </c>
      <c r="DB8" s="170"/>
      <c r="DC8" s="177"/>
      <c r="DD8" s="24" t="s">
        <v>17</v>
      </c>
      <c r="DE8" s="177"/>
      <c r="DF8" s="25" t="str">
        <f t="shared" si="20"/>
        <v>-</v>
      </c>
      <c r="DG8" s="170"/>
      <c r="DH8" s="177"/>
      <c r="DI8" s="24" t="s">
        <v>17</v>
      </c>
      <c r="DJ8" s="177"/>
      <c r="DK8" s="25" t="str">
        <f t="shared" si="21"/>
        <v>-</v>
      </c>
      <c r="DL8" s="170"/>
      <c r="DM8" s="177"/>
      <c r="DN8" s="24" t="s">
        <v>17</v>
      </c>
      <c r="DO8" s="177"/>
      <c r="DP8" s="25" t="str">
        <f t="shared" si="22"/>
        <v>-</v>
      </c>
      <c r="DQ8" s="170"/>
      <c r="DR8" s="177"/>
      <c r="DS8" s="24" t="s">
        <v>17</v>
      </c>
      <c r="DT8" s="177"/>
      <c r="DU8" s="25" t="str">
        <f t="shared" si="23"/>
        <v>-</v>
      </c>
      <c r="DV8" s="170"/>
      <c r="DW8" s="177"/>
      <c r="DX8" s="24" t="s">
        <v>17</v>
      </c>
      <c r="DY8" s="177"/>
      <c r="DZ8" s="25" t="str">
        <f t="shared" si="24"/>
        <v>-</v>
      </c>
      <c r="EA8" s="166"/>
      <c r="EB8" s="177"/>
      <c r="EC8" s="24" t="s">
        <v>17</v>
      </c>
      <c r="ED8" s="177"/>
      <c r="EE8" s="25" t="str">
        <f t="shared" si="25"/>
        <v>-</v>
      </c>
      <c r="EF8" s="166"/>
      <c r="EG8" s="177"/>
      <c r="EH8" s="24" t="s">
        <v>17</v>
      </c>
      <c r="EI8" s="177"/>
      <c r="EJ8" s="25" t="str">
        <f t="shared" si="26"/>
        <v>-</v>
      </c>
      <c r="EK8" s="166"/>
      <c r="EL8" s="177"/>
      <c r="EM8" s="24" t="s">
        <v>17</v>
      </c>
      <c r="EN8" s="177"/>
      <c r="EO8" s="25" t="str">
        <f t="shared" si="27"/>
        <v>-</v>
      </c>
      <c r="EP8" s="166"/>
      <c r="EQ8" s="177"/>
      <c r="ER8" s="24" t="s">
        <v>17</v>
      </c>
      <c r="ES8" s="177"/>
      <c r="ET8" s="25" t="str">
        <f t="shared" si="28"/>
        <v>-</v>
      </c>
      <c r="EU8" s="166"/>
      <c r="EV8" s="28"/>
      <c r="EW8" s="176" t="s">
        <v>17</v>
      </c>
      <c r="EX8" s="28"/>
      <c r="EY8" s="26" t="str">
        <f t="shared" si="29"/>
        <v>-</v>
      </c>
      <c r="EZ8" s="166"/>
      <c r="FA8" s="8"/>
    </row>
    <row r="9" spans="1:157" ht="17.399999999999999">
      <c r="A9" s="30"/>
      <c r="B9" s="30"/>
      <c r="C9" s="31"/>
      <c r="D9" s="343"/>
      <c r="E9" s="30"/>
      <c r="F9" s="166"/>
      <c r="G9" s="326">
        <f>SUM(J3:J8)</f>
        <v>0</v>
      </c>
      <c r="H9" s="301"/>
      <c r="I9" s="301"/>
      <c r="J9" s="179"/>
      <c r="K9" s="180"/>
      <c r="L9" s="326">
        <f>SUM(O3:O8)</f>
        <v>0</v>
      </c>
      <c r="M9" s="301"/>
      <c r="N9" s="301"/>
      <c r="O9" s="179"/>
      <c r="P9" s="180"/>
      <c r="Q9" s="326">
        <f>SUM(T3:T8)</f>
        <v>0</v>
      </c>
      <c r="R9" s="301"/>
      <c r="S9" s="301"/>
      <c r="T9" s="179"/>
      <c r="U9" s="180"/>
      <c r="V9" s="326">
        <f>SUM(Y3:Y8)</f>
        <v>0</v>
      </c>
      <c r="W9" s="301"/>
      <c r="X9" s="301"/>
      <c r="Y9" s="179"/>
      <c r="Z9" s="180"/>
      <c r="AA9" s="326">
        <f>SUM(AD3:AD8)</f>
        <v>0</v>
      </c>
      <c r="AB9" s="301"/>
      <c r="AC9" s="301"/>
      <c r="AD9" s="179"/>
      <c r="AE9" s="180"/>
      <c r="AF9" s="326">
        <f>SUM(AI3:AI8)</f>
        <v>0</v>
      </c>
      <c r="AG9" s="301"/>
      <c r="AH9" s="301"/>
      <c r="AI9" s="179"/>
      <c r="AJ9" s="180"/>
      <c r="AK9" s="326">
        <f>SUM(AN3:AN8)</f>
        <v>0</v>
      </c>
      <c r="AL9" s="301"/>
      <c r="AM9" s="301"/>
      <c r="AN9" s="179"/>
      <c r="AO9" s="180"/>
      <c r="AP9" s="326">
        <f>SUM(AS3:AS8)</f>
        <v>0</v>
      </c>
      <c r="AQ9" s="301"/>
      <c r="AR9" s="301"/>
      <c r="AS9" s="181"/>
      <c r="AT9" s="180"/>
      <c r="AU9" s="326">
        <f>SUM(AX3:AX8)</f>
        <v>0</v>
      </c>
      <c r="AV9" s="301"/>
      <c r="AW9" s="301"/>
      <c r="AX9" s="182"/>
      <c r="AY9" s="168"/>
      <c r="AZ9" s="326">
        <f>SUM(BC3:BC8)</f>
        <v>0</v>
      </c>
      <c r="BA9" s="301"/>
      <c r="BB9" s="301"/>
      <c r="BC9" s="182"/>
      <c r="BD9" s="169"/>
      <c r="BE9" s="326">
        <f>SUM(BH3:BH8)</f>
        <v>0</v>
      </c>
      <c r="BF9" s="301"/>
      <c r="BG9" s="301"/>
      <c r="BH9" s="182"/>
      <c r="BI9" s="169"/>
      <c r="BJ9" s="326">
        <f>SUM(BM3:BM8)</f>
        <v>0</v>
      </c>
      <c r="BK9" s="301"/>
      <c r="BL9" s="301"/>
      <c r="BM9" s="182"/>
      <c r="BN9" s="169"/>
      <c r="BO9" s="326">
        <f>SUM(BR3:BR8)</f>
        <v>0</v>
      </c>
      <c r="BP9" s="301"/>
      <c r="BQ9" s="301"/>
      <c r="BR9" s="182"/>
      <c r="BS9" s="169"/>
      <c r="BT9" s="326">
        <f>SUM(BW3:BW8)</f>
        <v>0</v>
      </c>
      <c r="BU9" s="301"/>
      <c r="BV9" s="301"/>
      <c r="BW9" s="182"/>
      <c r="BX9" s="166"/>
      <c r="BY9" s="326">
        <f>SUM(CB3:CB8)</f>
        <v>0</v>
      </c>
      <c r="BZ9" s="301"/>
      <c r="CA9" s="301"/>
      <c r="CB9" s="182"/>
      <c r="CC9" s="183"/>
      <c r="CD9" s="326">
        <f>SUM(CG3:CG8)</f>
        <v>0</v>
      </c>
      <c r="CE9" s="301"/>
      <c r="CF9" s="301"/>
      <c r="CG9" s="182"/>
      <c r="CH9" s="183"/>
      <c r="CI9" s="326">
        <f>SUM(CL3:CL8)</f>
        <v>0</v>
      </c>
      <c r="CJ9" s="301"/>
      <c r="CK9" s="301"/>
      <c r="CL9" s="182"/>
      <c r="CM9" s="183"/>
      <c r="CN9" s="326">
        <f>SUM(CQ3:CQ8)</f>
        <v>0</v>
      </c>
      <c r="CO9" s="301"/>
      <c r="CP9" s="301"/>
      <c r="CQ9" s="182"/>
      <c r="CR9" s="183"/>
      <c r="CS9" s="326">
        <f>SUM(CV3:CV8)</f>
        <v>0</v>
      </c>
      <c r="CT9" s="301"/>
      <c r="CU9" s="301"/>
      <c r="CV9" s="182"/>
      <c r="CW9" s="183"/>
      <c r="CX9" s="326">
        <f>SUM(DA3:DA8)</f>
        <v>0</v>
      </c>
      <c r="CY9" s="301"/>
      <c r="CZ9" s="301"/>
      <c r="DA9" s="182"/>
      <c r="DB9" s="183"/>
      <c r="DC9" s="326">
        <f>SUM(DF3:DF8)</f>
        <v>0</v>
      </c>
      <c r="DD9" s="301"/>
      <c r="DE9" s="301"/>
      <c r="DF9" s="182"/>
      <c r="DG9" s="183"/>
      <c r="DH9" s="326">
        <f>SUM(DK3:DK8)</f>
        <v>0</v>
      </c>
      <c r="DI9" s="301"/>
      <c r="DJ9" s="301"/>
      <c r="DK9" s="182"/>
      <c r="DL9" s="183"/>
      <c r="DM9" s="326">
        <f>SUM(DP3:DP8)</f>
        <v>0</v>
      </c>
      <c r="DN9" s="301"/>
      <c r="DO9" s="301"/>
      <c r="DP9" s="182"/>
      <c r="DQ9" s="183"/>
      <c r="DR9" s="326">
        <f>SUM(DU3:DU8)</f>
        <v>0</v>
      </c>
      <c r="DS9" s="301"/>
      <c r="DT9" s="301"/>
      <c r="DU9" s="182"/>
      <c r="DV9" s="183"/>
      <c r="DW9" s="326">
        <f>SUM(DZ3:DZ8)</f>
        <v>0</v>
      </c>
      <c r="DX9" s="301"/>
      <c r="DY9" s="301"/>
      <c r="DZ9" s="182"/>
      <c r="EA9" s="166"/>
      <c r="EB9" s="326">
        <f>SUM(EE3:EE8)</f>
        <v>0</v>
      </c>
      <c r="EC9" s="301"/>
      <c r="ED9" s="301"/>
      <c r="EE9" s="182"/>
      <c r="EF9" s="166"/>
      <c r="EG9" s="326">
        <f>SUM(EJ3:EJ8)</f>
        <v>0</v>
      </c>
      <c r="EH9" s="301"/>
      <c r="EI9" s="301"/>
      <c r="EJ9" s="182"/>
      <c r="EK9" s="166"/>
      <c r="EL9" s="326">
        <f>SUM(EO3:EO8)</f>
        <v>0</v>
      </c>
      <c r="EM9" s="301"/>
      <c r="EN9" s="301"/>
      <c r="EO9" s="182"/>
      <c r="EP9" s="166"/>
      <c r="EQ9" s="326">
        <f>SUM(ET3:ET8)</f>
        <v>0</v>
      </c>
      <c r="ER9" s="301"/>
      <c r="ES9" s="301"/>
      <c r="ET9" s="182"/>
      <c r="EU9" s="166"/>
      <c r="EV9" s="326">
        <f>SUM(EY3:EY8)</f>
        <v>0</v>
      </c>
      <c r="EW9" s="301"/>
      <c r="EX9" s="301"/>
      <c r="EY9" s="182"/>
      <c r="EZ9" s="166"/>
      <c r="FA9" s="8"/>
    </row>
    <row r="10" spans="1:157" ht="17.399999999999999">
      <c r="A10" s="328" t="s">
        <v>21</v>
      </c>
      <c r="B10" s="301"/>
      <c r="C10" s="301"/>
      <c r="D10" s="301"/>
      <c r="E10" s="301"/>
      <c r="F10" s="166"/>
      <c r="G10" s="328"/>
      <c r="H10" s="301"/>
      <c r="I10" s="301"/>
      <c r="J10" s="184"/>
      <c r="K10" s="167"/>
      <c r="L10" s="328"/>
      <c r="M10" s="301"/>
      <c r="N10" s="301"/>
      <c r="O10" s="184"/>
      <c r="P10" s="167"/>
      <c r="Q10" s="328"/>
      <c r="R10" s="301"/>
      <c r="S10" s="301"/>
      <c r="T10" s="184"/>
      <c r="U10" s="167"/>
      <c r="V10" s="328"/>
      <c r="W10" s="301"/>
      <c r="X10" s="301"/>
      <c r="Y10" s="184"/>
      <c r="Z10" s="167"/>
      <c r="AA10" s="328"/>
      <c r="AB10" s="301"/>
      <c r="AC10" s="301"/>
      <c r="AD10" s="184"/>
      <c r="AE10" s="167"/>
      <c r="AF10" s="328"/>
      <c r="AG10" s="301"/>
      <c r="AH10" s="301"/>
      <c r="AI10" s="184"/>
      <c r="AJ10" s="167"/>
      <c r="AK10" s="328"/>
      <c r="AL10" s="301"/>
      <c r="AM10" s="301"/>
      <c r="AN10" s="184"/>
      <c r="AO10" s="167"/>
      <c r="AP10" s="328"/>
      <c r="AQ10" s="301"/>
      <c r="AR10" s="301"/>
      <c r="AS10" s="184"/>
      <c r="AT10" s="167"/>
      <c r="AU10" s="328"/>
      <c r="AV10" s="301"/>
      <c r="AW10" s="301"/>
      <c r="AX10" s="184"/>
      <c r="AY10" s="168"/>
      <c r="AZ10" s="328"/>
      <c r="BA10" s="301"/>
      <c r="BB10" s="301"/>
      <c r="BC10" s="184"/>
      <c r="BD10" s="169"/>
      <c r="BE10" s="328"/>
      <c r="BF10" s="301"/>
      <c r="BG10" s="301"/>
      <c r="BH10" s="184"/>
      <c r="BI10" s="169"/>
      <c r="BJ10" s="328"/>
      <c r="BK10" s="301"/>
      <c r="BL10" s="301"/>
      <c r="BM10" s="184"/>
      <c r="BN10" s="169"/>
      <c r="BO10" s="328"/>
      <c r="BP10" s="301"/>
      <c r="BQ10" s="301"/>
      <c r="BR10" s="36"/>
      <c r="BS10" s="169"/>
      <c r="BT10" s="328"/>
      <c r="BU10" s="301"/>
      <c r="BV10" s="301"/>
      <c r="BW10" s="36"/>
      <c r="BX10" s="166"/>
      <c r="BY10" s="339"/>
      <c r="BZ10" s="301"/>
      <c r="CA10" s="301"/>
      <c r="CB10" s="185"/>
      <c r="CC10" s="170"/>
      <c r="CD10" s="339"/>
      <c r="CE10" s="301"/>
      <c r="CF10" s="301"/>
      <c r="CG10" s="185"/>
      <c r="CH10" s="170"/>
      <c r="CI10" s="339"/>
      <c r="CJ10" s="301"/>
      <c r="CK10" s="301"/>
      <c r="CL10" s="185"/>
      <c r="CM10" s="170"/>
      <c r="CN10" s="339"/>
      <c r="CO10" s="301"/>
      <c r="CP10" s="301"/>
      <c r="CQ10" s="185"/>
      <c r="CR10" s="170"/>
      <c r="CS10" s="339"/>
      <c r="CT10" s="301"/>
      <c r="CU10" s="301"/>
      <c r="CV10" s="185"/>
      <c r="CW10" s="170"/>
      <c r="CX10" s="339"/>
      <c r="CY10" s="301"/>
      <c r="CZ10" s="301"/>
      <c r="DA10" s="185"/>
      <c r="DB10" s="170"/>
      <c r="DC10" s="339"/>
      <c r="DD10" s="301"/>
      <c r="DE10" s="301"/>
      <c r="DF10" s="185"/>
      <c r="DG10" s="170"/>
      <c r="DH10" s="339"/>
      <c r="DI10" s="301"/>
      <c r="DJ10" s="301"/>
      <c r="DK10" s="185"/>
      <c r="DL10" s="170"/>
      <c r="DM10" s="339"/>
      <c r="DN10" s="301"/>
      <c r="DO10" s="301"/>
      <c r="DP10" s="36"/>
      <c r="DQ10" s="170"/>
      <c r="DR10" s="339"/>
      <c r="DS10" s="301"/>
      <c r="DT10" s="301"/>
      <c r="DU10" s="36"/>
      <c r="DV10" s="170"/>
      <c r="DW10" s="339"/>
      <c r="DX10" s="301"/>
      <c r="DY10" s="301"/>
      <c r="DZ10" s="36"/>
      <c r="EA10" s="166"/>
      <c r="EB10" s="339"/>
      <c r="EC10" s="301"/>
      <c r="ED10" s="301"/>
      <c r="EE10" s="43"/>
      <c r="EF10" s="166"/>
      <c r="EG10" s="339"/>
      <c r="EH10" s="301"/>
      <c r="EI10" s="301"/>
      <c r="EJ10" s="36"/>
      <c r="EK10" s="166"/>
      <c r="EL10" s="339"/>
      <c r="EM10" s="301"/>
      <c r="EN10" s="301"/>
      <c r="EO10" s="36"/>
      <c r="EP10" s="166"/>
      <c r="EQ10" s="339"/>
      <c r="ER10" s="301"/>
      <c r="ES10" s="301"/>
      <c r="ET10" s="36"/>
      <c r="EU10" s="166"/>
      <c r="EV10" s="328"/>
      <c r="EW10" s="301"/>
      <c r="EX10" s="301"/>
      <c r="EY10" s="36"/>
      <c r="EZ10" s="166"/>
      <c r="FA10" s="8"/>
    </row>
    <row r="11" spans="1:157" ht="17.399999999999999">
      <c r="A11" s="12" t="s">
        <v>78</v>
      </c>
      <c r="B11" s="13"/>
      <c r="C11" s="14" t="s">
        <v>17</v>
      </c>
      <c r="D11" s="13"/>
      <c r="E11" s="12" t="s">
        <v>79</v>
      </c>
      <c r="F11" s="166"/>
      <c r="G11" s="15"/>
      <c r="H11" s="16" t="s">
        <v>17</v>
      </c>
      <c r="I11" s="15"/>
      <c r="J11" s="17" t="str">
        <f t="shared" ref="J11:J16" si="30">IF(OR(B11="", D11=""), "-",
  IF(OR(G11="", I11=""), 0,
    IF(AND(G11=B11, I11=D11), 10,
      IF(AND(OR(AND(B11&gt;D11, G11&gt;I11), AND(B11&lt;D11, G11&lt;I11), AND(B11=D11, G11=I11)), OR(G11=B11, I11=D11)), 7,
        IF(OR(AND(B11&gt;D11, G11&gt;I11), AND(B11&lt;D11, G11&lt;I11), AND(B11=D11, G11=I11)), 5,
          IF(OR(G11=B11, I11=D11), 2, 0)
        )
      )
    )
  )
)</f>
        <v>-</v>
      </c>
      <c r="K11" s="173"/>
      <c r="L11" s="15"/>
      <c r="M11" s="16" t="s">
        <v>17</v>
      </c>
      <c r="N11" s="15"/>
      <c r="O11" s="17" t="str">
        <f t="shared" ref="O11:O16" si="31">IF(OR(B11="", D11=""), "-",
  IF(OR(L11="", N11=""), 0,
    IF(AND(L11=B11, N11=D11), 10,
      IF(AND(OR(AND(B11&gt;D11, L11&gt;N11), AND(B11&lt;D11, L11&lt;N11), AND(B11=D11, L11=N11)), OR(L11=B11, N11=D11)), 7,
        IF(OR(AND(B11&gt;D11, L11&gt;N11), AND(B11&lt;D11, L11&lt;N11), AND(B11=D11, L11=N11)), 5,
          IF(OR(L11=B11, N11=D11), 2, 0)
        )
      )
    )
  )
)</f>
        <v>-</v>
      </c>
      <c r="P11" s="173"/>
      <c r="Q11" s="15"/>
      <c r="R11" s="16" t="s">
        <v>17</v>
      </c>
      <c r="S11" s="15"/>
      <c r="T11" s="17" t="str">
        <f t="shared" ref="T11:T16" si="32">IF(OR(B11="", D11=""), "-",
  IF(OR(Q11="", S11=""), 0,
    IF(AND(Q11=B11, S11=D11), 10,
      IF(AND(OR(AND(B11&gt;D11, Q11&gt;S11), AND(B11&lt;D11, Q11&lt;S11), AND(B11=D11, Q11=S11)), OR(Q11=B11, S11=D11)), 7,
        IF(OR(AND(B11&gt;D11, Q11&gt;S11), AND(B11&lt;D11, Q11&lt;S11), AND(B11=D11, Q11=S11)), 5,
          IF(OR(Q11=B11, S11=D11), 2, 0)
        )
      )
    )
  )
)</f>
        <v>-</v>
      </c>
      <c r="U11" s="173"/>
      <c r="V11" s="15"/>
      <c r="W11" s="16" t="s">
        <v>17</v>
      </c>
      <c r="X11" s="15"/>
      <c r="Y11" s="17" t="str">
        <f t="shared" ref="Y11:Y16" si="33">IF(OR(B11="", D11=""), "-",
  IF(OR(V11="", X11=""), 0,
    IF(AND(V11=B11, X11=D11), 10,
      IF(AND(OR(AND(B11&gt;D11, V11&gt;X11), AND(B11&lt;D11, V11&lt;X11), AND(B11=D11, V11=X11)), OR(V11=B11, X11=D11)), 7,
        IF(OR(AND(B11&gt;D11, V11&gt;X11), AND(B11&lt;D11, V11&lt;X11), AND(B11=D11, V11=X11)), 5,
          IF(OR(V11=B11, X11=D11), 2, 0)
        )
      )
    )
  )
)</f>
        <v>-</v>
      </c>
      <c r="Z11" s="173"/>
      <c r="AA11" s="15"/>
      <c r="AB11" s="16" t="s">
        <v>17</v>
      </c>
      <c r="AC11" s="15"/>
      <c r="AD11" s="17" t="str">
        <f t="shared" ref="AD11:AD16" si="34">IF(OR(B11="", D11=""), "-",
  IF(OR(AA11="", AC11=""), 0,
    IF(AND(AA11=B11, AC11=D11), 10,
      IF(AND(OR(AND(B11&gt;D11, AA11&gt;AC11), AND(B11&lt;D11, AA11&lt;AC11), AND(B11=D11, AA11=AC11)), OR(AA11=B11, AC11=D11)), 7,
        IF(OR(AND(B11&gt;D11, AA11&gt;AC11), AND(B11&lt;D11, AA11&lt;AC11), AND(B11=D11, AA11=AC11)), 5,
          IF(OR(AA11=B11, AC11=D11), 2, 0)
        )
      )
    )
  )
)</f>
        <v>-</v>
      </c>
      <c r="AE11" s="173"/>
      <c r="AF11" s="15"/>
      <c r="AG11" s="16" t="s">
        <v>17</v>
      </c>
      <c r="AH11" s="15"/>
      <c r="AI11" s="17" t="str">
        <f t="shared" ref="AI11:AI16" si="35">IF(OR(B11="", D11=""), "-",
  IF(OR(AF11="", AH11=""), 0,
    IF(AND(AF11=B11, AH11=D11), 10,
      IF(AND(OR(AND(B11&gt;D11, AF11&gt;AH11), AND(B11&lt;D11, AF11&lt;AH11), AND(B11=D11, AF11=AH11)), OR(AF11=B11, AH11=D11)), 7,
        IF(OR(AND(B11&gt;D11, AF11&gt;AH11), AND(B11&lt;D11, AF11&lt;AH11), AND(B11=D11, AF11=AH11)), 5,
          IF(OR(AF11=B11, AH11=D11), 2, 0)
        )
      )
    )
  )
)</f>
        <v>-</v>
      </c>
      <c r="AJ11" s="173"/>
      <c r="AK11" s="15"/>
      <c r="AL11" s="16" t="s">
        <v>17</v>
      </c>
      <c r="AM11" s="15"/>
      <c r="AN11" s="17" t="str">
        <f t="shared" ref="AN11:AN16" si="36">IF(OR(B11="", D11=""), "-",
  IF(OR(AK11="", AM11=""), 0,
    IF(AND(AK11=B11, AM11=D11), 10,
      IF(AND(OR(AND(B11&gt;D11, AK11&gt;AM11), AND(B11&lt;D11, AK11&lt;AM11), AND(B11=D11, AK11=AM11)), OR(AK11=B11, AM11=D11)), 7,
        IF(OR(AND(B11&gt;D11, AK11&gt;AM11), AND(B11&lt;D11, AK11&lt;AM11), AND(B11=D11, AK11=AM11)), 5,
          IF(OR(AK11=B11, AM11=D11), 2, 0)
        )
      )
    )
  )
)</f>
        <v>-</v>
      </c>
      <c r="AO11" s="173"/>
      <c r="AP11" s="15"/>
      <c r="AQ11" s="16" t="s">
        <v>17</v>
      </c>
      <c r="AR11" s="15"/>
      <c r="AS11" s="17" t="str">
        <f t="shared" ref="AS11:AS16" si="37">IF(OR(B11="", D11=""), "-",
  IF(OR(AP11="", AR11=""), 0,
    IF(AND(AP11=B11, AR11=D11), 10,
      IF(AND(OR(AND(B11&gt;D11, AP11&gt;AR11), AND(B11&lt;D11, AP11&lt;AR11), AND(B11=D11, AP11=AR11)), OR(AP11=B11, AR11=D11)), 7,
        IF(OR(AND(B11&gt;D11, AP11&gt;AR11), AND(B11&lt;D11, AP11&lt;AR11), AND(B11=D11, AP11=AR11)), 5,
          IF(OR(AP11=B11, AR11=D11), 2, 0)
        )
      )
    )
  )
)</f>
        <v>-</v>
      </c>
      <c r="AT11" s="173"/>
      <c r="AU11" s="15"/>
      <c r="AV11" s="16" t="s">
        <v>17</v>
      </c>
      <c r="AW11" s="15"/>
      <c r="AX11" s="17" t="str">
        <f t="shared" ref="AX11:AX16" si="38">IF(OR(B11="", D11=""), "-",
  IF(OR(AU11="", AW11=""), 0,
    IF(AND(AU11=B11, AW11=D11), 10,
      IF(AND(OR(AND(B11&gt;D11, AU11&gt;AW11), AND(B11&lt;D11, AU11&lt;AW11), AND(B11=D11, AU11=AW11)), OR(AU11=B11, AW11=D11)), 7,
        IF(OR(AND(B11&gt;D11, AU11&gt;AW11), AND(B11&lt;D11, AU11&lt;AW11), AND(B11=D11, AU11=AW11)), 5,
          IF(OR(AU11=B11, AW11=D11), 2, 0)
        )
      )
    )
  )
)</f>
        <v>-</v>
      </c>
      <c r="AY11" s="168"/>
      <c r="AZ11" s="15"/>
      <c r="BA11" s="16" t="s">
        <v>17</v>
      </c>
      <c r="BB11" s="15"/>
      <c r="BC11" s="17" t="str">
        <f t="shared" ref="BC11:BC16" si="39">IF(OR(B11="", D11=""), "-",
  IF(OR(AZ11="", BB11=""), 0,
    IF(AND(AZ11=B11, BB11=D11), 10,
      IF(AND(OR(AND(B11&gt;D11, AZ11&gt;BB11), AND(B11&lt;D11, AZ11&lt;BB11), AND(B11=D11, AZ11=BB11)), OR(AZ11=B11, BB11=D11)), 7,
        IF(OR(AND(B11&gt;D11, AZ11&gt;BB11), AND(B11&lt;D11, AZ11&lt;BB11), AND(B11=D11, AZ11=BB11)), 5,
          IF(OR(AZ11=B11, BB11=D11), 2, 0)
        )
      )
    )
  )
)</f>
        <v>-</v>
      </c>
      <c r="BD11" s="169"/>
      <c r="BE11" s="15"/>
      <c r="BF11" s="174" t="s">
        <v>17</v>
      </c>
      <c r="BG11" s="15"/>
      <c r="BH11" s="19" t="str">
        <f t="shared" ref="BH11:BH16" si="40">IF(OR(B11="", D11=""), "-",
  IF(OR(BE11="", BG11=""), 0,
    IF(AND(BE11=B11, BG11=D11), 10,
      IF(AND(OR(AND(B11&gt;D11, BE11&gt;BG11), AND(B11&lt;D11, BE11&lt;BG11), AND(B11=D11, BE11=BG11)), OR(BE11=B11, BG11=D11)), 7,
        IF(OR(AND(B11&gt;D11, BE11&gt;BG11), AND(B11&lt;D11, BE11&lt;BG11), AND(B11=D11, BE11=BG11)), 5,
          IF(OR(BE11=B11, BG11=D11), 2, 0)
        )
      )
    )
  )
)</f>
        <v>-</v>
      </c>
      <c r="BI11" s="169"/>
      <c r="BJ11" s="15"/>
      <c r="BK11" s="174" t="s">
        <v>17</v>
      </c>
      <c r="BL11" s="15"/>
      <c r="BM11" s="19" t="str">
        <f t="shared" ref="BM11:BM16" si="41">IF(OR(B11="", D11=""), "-",
  IF(OR(BJ11="", BL11=""), 0,
    IF(AND(BJ11=B11, BL11=D11), 10,
      IF(AND(OR(AND(B11&gt;D11, BJ11&gt;BL11), AND(B11&lt;D11, BJ11&lt;BL11), AND(B11=D11, BJ11=BL11)), OR(BJ11=B11, BL11=D11)), 7,
        IF(OR(AND(B11&gt;D11, BJ11&gt;BL11), AND(B11&lt;D11, BJ11&lt;BL11), AND(B11=D11, BJ11=BL11)), 5,
          IF(OR(BJ11=B11, BL11=D11), 2, 0)
        )
      )
    )
  )
)</f>
        <v>-</v>
      </c>
      <c r="BN11" s="169"/>
      <c r="BO11" s="15"/>
      <c r="BP11" s="174" t="s">
        <v>17</v>
      </c>
      <c r="BQ11" s="15"/>
      <c r="BR11" s="19" t="str">
        <f t="shared" ref="BR11:BR16" si="42">IF(OR(B11="", D11=""), "-",
  IF(OR(BO11="", BQ11=""), 0,
    IF(AND(BO11=B11, BQ11=D11), 10,
      IF(AND(OR(AND(B11&gt;D11, BO11&gt;BQ11), AND(B11&lt;D11, BO11&lt;BQ11), AND(B11=D11, BO11=BQ11)), OR(BO11=B11, BQ11=D11)), 7,
        IF(OR(AND(B11&gt;D11, BO11&gt;BQ11), AND(B11&lt;D11, BO11&lt;BQ11), AND(B11=D11, BO11=BQ11)), 5,
          IF(OR(BO11=B11, BQ11=D11), 2, 0)
        )
      )
    )
  )
)</f>
        <v>-</v>
      </c>
      <c r="BS11" s="169"/>
      <c r="BT11" s="15"/>
      <c r="BU11" s="174" t="s">
        <v>17</v>
      </c>
      <c r="BV11" s="15"/>
      <c r="BW11" s="19" t="str">
        <f t="shared" ref="BW11:BW16" si="43">IF(OR(B11="", D11=""), "-",
  IF(OR(BT11="", BV11=""), 0,
    IF(AND(BT11=B11, BV11=D11), 10,
      IF(AND(OR(AND(B11&gt;D11, BT11&gt;BV11), AND(B11&lt;D11, BT11&lt;BV11), AND(B11=D11, BT11=BV11)), OR(BT11=B11, BV11=D11)), 7,
        IF(OR(AND(B11&gt;D11, BT11&gt;BV11), AND(B11&lt;D11, BT11&lt;BV11), AND(B11=D11, BT11=BV11)), 5,
          IF(OR(BT11=B11, BV11=D11), 2, 0)
        )
      )
    )
  )
)</f>
        <v>-</v>
      </c>
      <c r="BX11" s="166"/>
      <c r="BY11" s="175"/>
      <c r="BZ11" s="16" t="s">
        <v>17</v>
      </c>
      <c r="CA11" s="175"/>
      <c r="CB11" s="17" t="str">
        <f t="shared" ref="CB11:CB16" si="44">IF(OR(B11="", D11=""), "-",
  IF(OR(BY11="", CA11=""), 0,
    IF(AND(BY11=B11, CA11=D11), 10,
      IF(AND(OR(AND(B11&gt;D11, BY11&gt;CA11), AND(B11&lt;D11, BY11&lt;CA11), AND(B11=D11, BY11=CA11)), OR(BY11=B11, CA11=D11)), 7,
        IF(OR(AND(B11&gt;D11, BY11&gt;CA11), AND(B11&lt;D11, BY11&lt;CA11), AND(B11=D11, BY11=CA11)), 5,
          IF(OR(BY11=B11, CA11=D11), 2, 0)
        )
      )
    )
  )
)</f>
        <v>-</v>
      </c>
      <c r="CC11" s="170"/>
      <c r="CD11" s="175"/>
      <c r="CE11" s="16" t="s">
        <v>17</v>
      </c>
      <c r="CF11" s="175"/>
      <c r="CG11" s="17" t="str">
        <f t="shared" ref="CG11:CG16" si="45">IF(OR(B11="", D11=""), "-",
  IF(OR(CD11="", CF11=""), 0,
    IF(AND(CD11=B11, CF11=D11), 10,
      IF(AND(OR(AND(B11&gt;D11, CD11&gt;CF11), AND(B11&lt;D11, CD11&lt;CF11), AND(B11=D11, CD11=CF11)), OR(CD11=B11, CF11=D11)), 7,
        IF(OR(AND(B11&gt;D11, CD11&gt;CF11), AND(B11&lt;D11, CD11&lt;CF11), AND(B11=D11, CD11=CF11)), 5,
          IF(OR(CD11=B11, CF11=D11), 2, 0)
        )
      )
    )
  )
)</f>
        <v>-</v>
      </c>
      <c r="CH11" s="170"/>
      <c r="CI11" s="175"/>
      <c r="CJ11" s="16" t="s">
        <v>17</v>
      </c>
      <c r="CK11" s="175"/>
      <c r="CL11" s="17" t="str">
        <f t="shared" ref="CL11:CL16" si="46">IF(OR(B11="", D11=""), "-",
  IF(OR(CI11="", CK11=""), 0,
    IF(AND(CI11=B11, CK11=D11), 10,
      IF(AND(OR(AND(B11&gt;D11, CI11&gt;CK11), AND(B11&lt;D11, CI11&lt;CK11), AND(B11=D11, CI11=CK11)), OR(CI11=B11, CK11=D11)), 7,
        IF(OR(AND(B11&gt;D11, CI11&gt;CK11), AND(B11&lt;D11, CI11&lt;CK11), AND(B11=D11, CI11=CK11)), 5,
          IF(OR(CI11=B11, CK11=D11), 2, 0)
        )
      )
    )
  )
)</f>
        <v>-</v>
      </c>
      <c r="CM11" s="170"/>
      <c r="CN11" s="175"/>
      <c r="CO11" s="16" t="s">
        <v>17</v>
      </c>
      <c r="CP11" s="175"/>
      <c r="CQ11" s="17" t="str">
        <f t="shared" ref="CQ11:CQ16" si="47">IF(OR(B11="", D11=""), "-",
  IF(OR(CN11="", CP11=""), 0,
    IF(AND(CN11=B11, CP11=D11), 10,
      IF(AND(OR(AND(B11&gt;D11, CN11&gt;CP11), AND(B11&lt;D11, CN11&lt;CP11), AND(B11=D11, CN11=CP11)), OR(CN11=B11, CP11=D11)), 7,
        IF(OR(AND(B11&gt;D11, CN11&gt;CP11), AND(B11&lt;D11, CN11&lt;CP11), AND(B11=D11, CN11=CP11)), 5,
          IF(OR(CN11=B11, CP11=D11), 2, 0)
        )
      )
    )
  )
)</f>
        <v>-</v>
      </c>
      <c r="CR11" s="170"/>
      <c r="CS11" s="175"/>
      <c r="CT11" s="16" t="s">
        <v>17</v>
      </c>
      <c r="CU11" s="175"/>
      <c r="CV11" s="17" t="str">
        <f t="shared" ref="CV11:CV16" si="48">IF(OR(B11="", D11=""), "-",
  IF(OR(CS11="", CU11=""), 0,
    IF(AND(CS11=B11, CU11=D11), 10,
      IF(AND(OR(AND(B11&gt;D11, CS11&gt;CU11), AND(B11&lt;D11, CS11&lt;CU11), AND(B11=D11, CS11=CU11)), OR(CS11=B11, CU11=D11)), 7,
        IF(OR(AND(B11&gt;D11, CS11&gt;CU11), AND(B11&lt;D11, CS11&lt;CU11), AND(B11=D11, CS11=CU11)), 5,
          IF(OR(CS11=B11, CU11=D11), 2, 0)
        )
      )
    )
  )
)</f>
        <v>-</v>
      </c>
      <c r="CW11" s="170"/>
      <c r="CX11" s="175"/>
      <c r="CY11" s="16" t="s">
        <v>17</v>
      </c>
      <c r="CZ11" s="175"/>
      <c r="DA11" s="17" t="str">
        <f t="shared" ref="DA11:DA16" si="49">IF(OR(B11="", D11=""), "-",
  IF(OR(CX11="", CZ11=""), 0,
    IF(AND(CX11=B11, CZ11=D11), 10,
      IF(AND(OR(AND(B11&gt;D11, CX11&gt;CZ11), AND(B11&lt;D11, CX11&lt;CZ11), AND(B11=D11, CX11=CZ11)), OR(CX11=B11, CZ11=D11)), 7,
        IF(OR(AND(B11&gt;D11, CX11&gt;CZ11), AND(B11&lt;D11, CX11&lt;CZ11), AND(B11=D11, CX11=CZ11)), 5,
          IF(OR(CX11=B11, CZ11=D11), 2, 0)
        )
      )
    )
  )
)</f>
        <v>-</v>
      </c>
      <c r="DB11" s="170"/>
      <c r="DC11" s="175"/>
      <c r="DD11" s="16" t="s">
        <v>17</v>
      </c>
      <c r="DE11" s="175"/>
      <c r="DF11" s="17" t="str">
        <f t="shared" ref="DF11:DF16" si="50">IF(OR(B11="", D11=""), "-",
  IF(OR(DC11="", DE11=""), 0,
    IF(AND(DC11=B11, DE11=D11), 10,
      IF(AND(OR(AND(B11&gt;D11, DC11&gt;DE11), AND(B11&lt;D11, DC11&lt;DE11), AND(B11=D11, DC11=DE11)), OR(DC11=B11, DE11=D11)), 7,
        IF(OR(AND(B11&gt;D11, DC11&gt;DE11), AND(B11&lt;D11, DC11&lt;DE11), AND(B11=D11, DC11=DE11)), 5,
          IF(OR(DC11=B11, DE11=D11), 2, 0)
        )
      )
    )
  )
)</f>
        <v>-</v>
      </c>
      <c r="DG11" s="170"/>
      <c r="DH11" s="175"/>
      <c r="DI11" s="16" t="s">
        <v>17</v>
      </c>
      <c r="DJ11" s="175"/>
      <c r="DK11" s="17" t="str">
        <f t="shared" ref="DK11:DK16" si="51">IF(OR(B11="", D11=""), "-",
  IF(OR(DH11="", DJ11=""), 0,
    IF(AND(DH11=B11, DJ11=D11), 10,
      IF(AND(OR(AND(B11&gt;D11, DH11&gt;DJ11), AND(B11&lt;D11, DH11&lt;DJ11), AND(B11=D11, DH11=DJ11)), OR(DH11=B11, DJ11=D11)), 7,
        IF(OR(AND(B11&gt;D11, DH11&gt;DJ11), AND(B11&lt;D11, DH11&lt;DJ11), AND(B11=D11, DH11=DJ11)), 5,
          IF(OR(DH11=B11, DJ11=D11), 2, 0)
        )
      )
    )
  )
)</f>
        <v>-</v>
      </c>
      <c r="DL11" s="170"/>
      <c r="DM11" s="175"/>
      <c r="DN11" s="16" t="s">
        <v>17</v>
      </c>
      <c r="DO11" s="175"/>
      <c r="DP11" s="17" t="str">
        <f t="shared" ref="DP11:DP16" si="52">IF(OR(B11="", D11=""), "-",
  IF(OR(DM11="", DO11=""), 0,
    IF(AND(DM11=B11, DO11=D11), 10,
      IF(AND(OR(AND(B11&gt;D11, DM11&gt;DO11), AND(B11&lt;D11, DM11&lt;DO11), AND(B11=D11, DM11=DO11)), OR(DM11=B11, DO11=D11)), 7,
        IF(OR(AND(B11&gt;D11, DM11&gt;DO11), AND(B11&lt;D11, DM11&lt;DO11), AND(B11=D11, DM11=DO11)), 5,
          IF(OR(DM11=B11, DO11=D11), 2, 0)
        )
      )
    )
  )
)</f>
        <v>-</v>
      </c>
      <c r="DQ11" s="170"/>
      <c r="DR11" s="175"/>
      <c r="DS11" s="16" t="s">
        <v>17</v>
      </c>
      <c r="DT11" s="175"/>
      <c r="DU11" s="17" t="str">
        <f t="shared" ref="DU11:DU16" si="53">IF(OR(B11="", D11=""), "-",
  IF(OR(DR11="", DT11=""), 0,
    IF(AND(DR11=B11, DT11=D11), 10,
      IF(AND(OR(AND(B11&gt;D11, DR11&gt;DT11), AND(B11&lt;D11, DR11&lt;DT11), AND(B11=D11, DR11=DT11)), OR(DR11=B11, DT11=D11)), 7,
        IF(OR(AND(B11&gt;D11, DR11&gt;DT11), AND(B11&lt;D11, DR11&lt;DT11), AND(B11=D11, DR11=DT11)), 5,
          IF(OR(DR11=B11, DT11=D11), 2, 0)
        )
      )
    )
  )
)</f>
        <v>-</v>
      </c>
      <c r="DV11" s="170"/>
      <c r="DW11" s="175"/>
      <c r="DX11" s="16" t="s">
        <v>17</v>
      </c>
      <c r="DY11" s="175"/>
      <c r="DZ11" s="17" t="str">
        <f t="shared" ref="DZ11:DZ16" si="54">IF(OR(B11="", D11=""), "-",
  IF(OR(DW11="", DY11=""), 0,
    IF(AND(DW11=B11, DY11=D11), 10,
      IF(AND(OR(AND(B11&gt;D11, DW11&gt;DY11), AND(B11&lt;D11, DW11&lt;DY11), AND(B11=D11, DW11=DY11)), OR(DW11=B11, DY11=D11)), 7,
        IF(OR(AND(B11&gt;D11, DW11&gt;DY11), AND(B11&lt;D11, DW11&lt;DY11), AND(B11=D11, DW11=DY11)), 5,
          IF(OR(DW11=B11, DY11=D11), 2, 0)
        )
      )
    )
  )
)</f>
        <v>-</v>
      </c>
      <c r="EA11" s="166"/>
      <c r="EB11" s="175"/>
      <c r="EC11" s="16" t="s">
        <v>17</v>
      </c>
      <c r="ED11" s="175"/>
      <c r="EE11" s="17" t="str">
        <f t="shared" ref="EE11:EE16" si="55">IF(OR(B11="", D11=""), "-",
  IF(OR(EB11="", ED11=""), 0,
    IF(AND(EB11=B11, ED11=D11), 10,
      IF(AND(OR(AND(B11&gt;D11, EB11&gt;ED11), AND(B11&lt;D11, EB11&lt;ED11), AND(B11=D11, EB11=ED11)), OR(EB11=B11, ED11=D11)), 7,
        IF(OR(AND(B11&gt;D11, EB11&gt;ED11), AND(B11&lt;D11, EB11&lt;ED11), AND(B11=D11, EB11=ED11)), 5,
          IF(OR(EB11=B11, ED11=D11), 2, 0)
        )
      )
    )
  )
)</f>
        <v>-</v>
      </c>
      <c r="EF11" s="166"/>
      <c r="EG11" s="175"/>
      <c r="EH11" s="16" t="s">
        <v>17</v>
      </c>
      <c r="EI11" s="175"/>
      <c r="EJ11" s="17" t="str">
        <f t="shared" ref="EJ11:EJ16" si="56">IF(OR(B11="", D11=""), "-",
  IF(OR(EG11="", EI11=""), 0,
    IF(AND(EG11=B11, EI11=D11), 10,
      IF(AND(OR(AND(B11&gt;D11, EG11&gt;EI11), AND(B11&lt;D11, EG11&lt;EI11), AND(B11=D11, EG11=EI11)), OR(EG11=B11, EI11=D11)), 7,
        IF(OR(AND(B11&gt;D11, EG11&gt;EI11), AND(B11&lt;D11, EG11&lt;EI11), AND(B11=D11, EG11=EI11)), 5,
          IF(OR(EG11=B11, EI11=D11), 2, 0)
        )
      )
    )
  )
)</f>
        <v>-</v>
      </c>
      <c r="EK11" s="166"/>
      <c r="EL11" s="175"/>
      <c r="EM11" s="16" t="s">
        <v>17</v>
      </c>
      <c r="EN11" s="175"/>
      <c r="EO11" s="17" t="str">
        <f t="shared" ref="EO11:EO16" si="57">IF(OR(B11="", D11=""), "-",
  IF(OR(EL11="", EN11=""), 0,
    IF(AND(EL11=B11, EN11=D11), 10,
      IF(AND(OR(AND(B11&gt;D11, EL11&gt;EN11), AND(B11&lt;D11, EL11&lt;EN11), AND(B11=D11, EL11=EN11)), OR(EL11=B11, EN11=D11)), 7,
        IF(OR(AND(B11&gt;D11, EL11&gt;EN11), AND(B11&lt;D11, EL11&lt;EN11), AND(B11=D11, EL11=EN11)), 5,
          IF(OR(EL11=B11, EN11=D11), 2, 0)
        )
      )
    )
  )
)</f>
        <v>-</v>
      </c>
      <c r="EP11" s="166"/>
      <c r="EQ11" s="175"/>
      <c r="ER11" s="16" t="s">
        <v>17</v>
      </c>
      <c r="ES11" s="175"/>
      <c r="ET11" s="17" t="str">
        <f t="shared" ref="ET11:ET16" si="58">IF(OR(B11="", D11=""), "-",
  IF(OR(EQ11="", ES11=""), 0,
    IF(AND(EQ11=B11, ES11=D11), 10,
      IF(AND(OR(AND(B11&gt;D11, EQ11&gt;ES11), AND(B11&lt;D11, EQ11&lt;ES11), AND(B11=D11, EQ11=ES11)), OR(EQ11=B11, ES11=D11)), 7,
        IF(OR(AND(B11&gt;D11, EQ11&gt;ES11), AND(B11&lt;D11, EQ11&lt;ES11), AND(B11=D11, EQ11=ES11)), 5,
          IF(OR(EQ11=B11, ES11=D11), 2, 0)
        )
      )
    )
  )
)</f>
        <v>-</v>
      </c>
      <c r="EU11" s="166"/>
      <c r="EV11" s="15"/>
      <c r="EW11" s="174" t="s">
        <v>17</v>
      </c>
      <c r="EX11" s="15"/>
      <c r="EY11" s="19" t="str">
        <f t="shared" ref="EY11:EY16" si="59">IF(OR(B11="", D11=""), "-",
  IF(OR(EV11="", EX11=""), 0,
    IF(AND(EV11=B11, EX11=D11), 10,
      IF(AND(OR(AND(B11&gt;D11, EV11&gt;EX11), AND(B11&lt;D11, EV11&lt;EX11), AND(B11=D11, EV11=EX11)), OR(EV11=B11, EX11=D11)), 7,
        IF(OR(AND(B11&gt;D11, EV11&gt;EX11), AND(B11&lt;D11, EV11&lt;EX11), AND(B11=D11, EV11=EX11)), 5,
          IF(OR(EV11=B11, EX11=D11), 2, 0)
        )
      )
    )
  )
)</f>
        <v>-</v>
      </c>
      <c r="EZ11" s="166"/>
      <c r="FA11" s="8"/>
    </row>
    <row r="12" spans="1:157" ht="17.399999999999999">
      <c r="A12" s="45" t="s">
        <v>80</v>
      </c>
      <c r="B12" s="46"/>
      <c r="C12" s="47" t="s">
        <v>17</v>
      </c>
      <c r="D12" s="46"/>
      <c r="E12" s="45" t="s">
        <v>81</v>
      </c>
      <c r="F12" s="166"/>
      <c r="G12" s="186"/>
      <c r="H12" s="187" t="s">
        <v>17</v>
      </c>
      <c r="I12" s="186"/>
      <c r="J12" s="48" t="str">
        <f t="shared" si="30"/>
        <v>-</v>
      </c>
      <c r="K12" s="173"/>
      <c r="L12" s="186"/>
      <c r="M12" s="187" t="s">
        <v>17</v>
      </c>
      <c r="N12" s="186"/>
      <c r="O12" s="48" t="str">
        <f t="shared" si="31"/>
        <v>-</v>
      </c>
      <c r="P12" s="173"/>
      <c r="Q12" s="186"/>
      <c r="R12" s="187" t="s">
        <v>17</v>
      </c>
      <c r="S12" s="186"/>
      <c r="T12" s="48" t="str">
        <f t="shared" si="32"/>
        <v>-</v>
      </c>
      <c r="U12" s="173"/>
      <c r="V12" s="186"/>
      <c r="W12" s="187" t="s">
        <v>17</v>
      </c>
      <c r="X12" s="186"/>
      <c r="Y12" s="48" t="str">
        <f t="shared" si="33"/>
        <v>-</v>
      </c>
      <c r="Z12" s="173"/>
      <c r="AA12" s="186"/>
      <c r="AB12" s="187" t="s">
        <v>17</v>
      </c>
      <c r="AC12" s="186"/>
      <c r="AD12" s="48" t="str">
        <f t="shared" si="34"/>
        <v>-</v>
      </c>
      <c r="AE12" s="173"/>
      <c r="AF12" s="186"/>
      <c r="AG12" s="187" t="s">
        <v>17</v>
      </c>
      <c r="AH12" s="186"/>
      <c r="AI12" s="48" t="str">
        <f t="shared" si="35"/>
        <v>-</v>
      </c>
      <c r="AJ12" s="173"/>
      <c r="AK12" s="186"/>
      <c r="AL12" s="187" t="s">
        <v>17</v>
      </c>
      <c r="AM12" s="186"/>
      <c r="AN12" s="48" t="str">
        <f t="shared" si="36"/>
        <v>-</v>
      </c>
      <c r="AO12" s="173"/>
      <c r="AP12" s="186"/>
      <c r="AQ12" s="187" t="s">
        <v>17</v>
      </c>
      <c r="AR12" s="186"/>
      <c r="AS12" s="48" t="str">
        <f t="shared" si="37"/>
        <v>-</v>
      </c>
      <c r="AT12" s="173"/>
      <c r="AU12" s="186"/>
      <c r="AV12" s="187" t="s">
        <v>17</v>
      </c>
      <c r="AW12" s="186"/>
      <c r="AX12" s="48" t="str">
        <f t="shared" si="38"/>
        <v>-</v>
      </c>
      <c r="AY12" s="168"/>
      <c r="AZ12" s="186"/>
      <c r="BA12" s="187" t="s">
        <v>17</v>
      </c>
      <c r="BB12" s="186"/>
      <c r="BC12" s="48" t="str">
        <f t="shared" si="39"/>
        <v>-</v>
      </c>
      <c r="BD12" s="169"/>
      <c r="BE12" s="186"/>
      <c r="BF12" s="188" t="s">
        <v>17</v>
      </c>
      <c r="BG12" s="186"/>
      <c r="BH12" s="49" t="str">
        <f t="shared" si="40"/>
        <v>-</v>
      </c>
      <c r="BI12" s="169"/>
      <c r="BJ12" s="186"/>
      <c r="BK12" s="188" t="s">
        <v>17</v>
      </c>
      <c r="BL12" s="186"/>
      <c r="BM12" s="49" t="str">
        <f t="shared" si="41"/>
        <v>-</v>
      </c>
      <c r="BN12" s="169"/>
      <c r="BO12" s="186"/>
      <c r="BP12" s="188" t="s">
        <v>17</v>
      </c>
      <c r="BQ12" s="186"/>
      <c r="BR12" s="49" t="str">
        <f t="shared" si="42"/>
        <v>-</v>
      </c>
      <c r="BS12" s="169"/>
      <c r="BT12" s="186"/>
      <c r="BU12" s="188" t="s">
        <v>17</v>
      </c>
      <c r="BV12" s="186"/>
      <c r="BW12" s="49" t="str">
        <f t="shared" si="43"/>
        <v>-</v>
      </c>
      <c r="BX12" s="166"/>
      <c r="BY12" s="189"/>
      <c r="BZ12" s="187" t="s">
        <v>17</v>
      </c>
      <c r="CA12" s="189"/>
      <c r="CB12" s="48" t="str">
        <f t="shared" si="44"/>
        <v>-</v>
      </c>
      <c r="CC12" s="170"/>
      <c r="CD12" s="189"/>
      <c r="CE12" s="187" t="s">
        <v>17</v>
      </c>
      <c r="CF12" s="189"/>
      <c r="CG12" s="48" t="str">
        <f t="shared" si="45"/>
        <v>-</v>
      </c>
      <c r="CH12" s="170"/>
      <c r="CI12" s="189"/>
      <c r="CJ12" s="187" t="s">
        <v>17</v>
      </c>
      <c r="CK12" s="189"/>
      <c r="CL12" s="48" t="str">
        <f t="shared" si="46"/>
        <v>-</v>
      </c>
      <c r="CM12" s="170"/>
      <c r="CN12" s="189"/>
      <c r="CO12" s="187" t="s">
        <v>17</v>
      </c>
      <c r="CP12" s="189"/>
      <c r="CQ12" s="48" t="str">
        <f t="shared" si="47"/>
        <v>-</v>
      </c>
      <c r="CR12" s="170"/>
      <c r="CS12" s="189"/>
      <c r="CT12" s="187" t="s">
        <v>17</v>
      </c>
      <c r="CU12" s="189"/>
      <c r="CV12" s="48" t="str">
        <f t="shared" si="48"/>
        <v>-</v>
      </c>
      <c r="CW12" s="170"/>
      <c r="CX12" s="189"/>
      <c r="CY12" s="187" t="s">
        <v>17</v>
      </c>
      <c r="CZ12" s="189"/>
      <c r="DA12" s="48" t="str">
        <f t="shared" si="49"/>
        <v>-</v>
      </c>
      <c r="DB12" s="170"/>
      <c r="DC12" s="189"/>
      <c r="DD12" s="187" t="s">
        <v>17</v>
      </c>
      <c r="DE12" s="189"/>
      <c r="DF12" s="48" t="str">
        <f t="shared" si="50"/>
        <v>-</v>
      </c>
      <c r="DG12" s="170"/>
      <c r="DH12" s="189"/>
      <c r="DI12" s="187" t="s">
        <v>17</v>
      </c>
      <c r="DJ12" s="189"/>
      <c r="DK12" s="48" t="str">
        <f t="shared" si="51"/>
        <v>-</v>
      </c>
      <c r="DL12" s="170"/>
      <c r="DM12" s="189"/>
      <c r="DN12" s="187" t="s">
        <v>17</v>
      </c>
      <c r="DO12" s="189"/>
      <c r="DP12" s="48" t="str">
        <f t="shared" si="52"/>
        <v>-</v>
      </c>
      <c r="DQ12" s="170"/>
      <c r="DR12" s="189"/>
      <c r="DS12" s="187" t="s">
        <v>17</v>
      </c>
      <c r="DT12" s="189"/>
      <c r="DU12" s="48" t="str">
        <f t="shared" si="53"/>
        <v>-</v>
      </c>
      <c r="DV12" s="170"/>
      <c r="DW12" s="189"/>
      <c r="DX12" s="187" t="s">
        <v>17</v>
      </c>
      <c r="DY12" s="189"/>
      <c r="DZ12" s="48" t="str">
        <f t="shared" si="54"/>
        <v>-</v>
      </c>
      <c r="EA12" s="166"/>
      <c r="EB12" s="189"/>
      <c r="EC12" s="187" t="s">
        <v>17</v>
      </c>
      <c r="ED12" s="189"/>
      <c r="EE12" s="48" t="str">
        <f t="shared" si="55"/>
        <v>-</v>
      </c>
      <c r="EF12" s="166"/>
      <c r="EG12" s="189"/>
      <c r="EH12" s="187" t="s">
        <v>17</v>
      </c>
      <c r="EI12" s="189"/>
      <c r="EJ12" s="48" t="str">
        <f t="shared" si="56"/>
        <v>-</v>
      </c>
      <c r="EK12" s="166"/>
      <c r="EL12" s="189"/>
      <c r="EM12" s="187" t="s">
        <v>17</v>
      </c>
      <c r="EN12" s="189"/>
      <c r="EO12" s="48" t="str">
        <f t="shared" si="57"/>
        <v>-</v>
      </c>
      <c r="EP12" s="166"/>
      <c r="EQ12" s="189"/>
      <c r="ER12" s="187" t="s">
        <v>17</v>
      </c>
      <c r="ES12" s="189"/>
      <c r="ET12" s="48" t="str">
        <f t="shared" si="58"/>
        <v>-</v>
      </c>
      <c r="EU12" s="166"/>
      <c r="EV12" s="186"/>
      <c r="EW12" s="188" t="s">
        <v>17</v>
      </c>
      <c r="EX12" s="186"/>
      <c r="EY12" s="49" t="str">
        <f t="shared" si="59"/>
        <v>-</v>
      </c>
      <c r="EZ12" s="166"/>
      <c r="FA12" s="8"/>
    </row>
    <row r="13" spans="1:157" ht="17.399999999999999">
      <c r="A13" s="12" t="s">
        <v>81</v>
      </c>
      <c r="B13" s="13"/>
      <c r="C13" s="14" t="s">
        <v>17</v>
      </c>
      <c r="D13" s="13"/>
      <c r="E13" s="12" t="s">
        <v>79</v>
      </c>
      <c r="F13" s="166"/>
      <c r="G13" s="15"/>
      <c r="H13" s="16" t="s">
        <v>17</v>
      </c>
      <c r="I13" s="15"/>
      <c r="J13" s="17" t="str">
        <f t="shared" si="30"/>
        <v>-</v>
      </c>
      <c r="K13" s="173"/>
      <c r="L13" s="15"/>
      <c r="M13" s="16" t="s">
        <v>17</v>
      </c>
      <c r="N13" s="15"/>
      <c r="O13" s="17" t="str">
        <f t="shared" si="31"/>
        <v>-</v>
      </c>
      <c r="P13" s="173"/>
      <c r="Q13" s="15"/>
      <c r="R13" s="16" t="s">
        <v>17</v>
      </c>
      <c r="S13" s="15"/>
      <c r="T13" s="17" t="str">
        <f t="shared" si="32"/>
        <v>-</v>
      </c>
      <c r="U13" s="173"/>
      <c r="V13" s="15"/>
      <c r="W13" s="16" t="s">
        <v>17</v>
      </c>
      <c r="X13" s="15"/>
      <c r="Y13" s="17" t="str">
        <f t="shared" si="33"/>
        <v>-</v>
      </c>
      <c r="Z13" s="173"/>
      <c r="AA13" s="15"/>
      <c r="AB13" s="16" t="s">
        <v>17</v>
      </c>
      <c r="AC13" s="15"/>
      <c r="AD13" s="17" t="str">
        <f t="shared" si="34"/>
        <v>-</v>
      </c>
      <c r="AE13" s="173"/>
      <c r="AF13" s="15"/>
      <c r="AG13" s="16" t="s">
        <v>17</v>
      </c>
      <c r="AH13" s="15"/>
      <c r="AI13" s="17" t="str">
        <f t="shared" si="35"/>
        <v>-</v>
      </c>
      <c r="AJ13" s="173"/>
      <c r="AK13" s="15"/>
      <c r="AL13" s="16" t="s">
        <v>17</v>
      </c>
      <c r="AM13" s="15"/>
      <c r="AN13" s="17" t="str">
        <f t="shared" si="36"/>
        <v>-</v>
      </c>
      <c r="AO13" s="173"/>
      <c r="AP13" s="15"/>
      <c r="AQ13" s="16" t="s">
        <v>17</v>
      </c>
      <c r="AR13" s="15"/>
      <c r="AS13" s="17" t="str">
        <f t="shared" si="37"/>
        <v>-</v>
      </c>
      <c r="AT13" s="173"/>
      <c r="AU13" s="15"/>
      <c r="AV13" s="16" t="s">
        <v>17</v>
      </c>
      <c r="AW13" s="15"/>
      <c r="AX13" s="17" t="str">
        <f t="shared" si="38"/>
        <v>-</v>
      </c>
      <c r="AY13" s="168"/>
      <c r="AZ13" s="15"/>
      <c r="BA13" s="16" t="s">
        <v>17</v>
      </c>
      <c r="BB13" s="15"/>
      <c r="BC13" s="17" t="str">
        <f t="shared" si="39"/>
        <v>-</v>
      </c>
      <c r="BD13" s="169"/>
      <c r="BE13" s="15"/>
      <c r="BF13" s="174" t="s">
        <v>17</v>
      </c>
      <c r="BG13" s="15"/>
      <c r="BH13" s="19" t="str">
        <f t="shared" si="40"/>
        <v>-</v>
      </c>
      <c r="BI13" s="169"/>
      <c r="BJ13" s="15"/>
      <c r="BK13" s="174" t="s">
        <v>17</v>
      </c>
      <c r="BL13" s="15"/>
      <c r="BM13" s="19" t="str">
        <f t="shared" si="41"/>
        <v>-</v>
      </c>
      <c r="BN13" s="169"/>
      <c r="BO13" s="15"/>
      <c r="BP13" s="174" t="s">
        <v>17</v>
      </c>
      <c r="BQ13" s="15"/>
      <c r="BR13" s="19" t="str">
        <f t="shared" si="42"/>
        <v>-</v>
      </c>
      <c r="BS13" s="169"/>
      <c r="BT13" s="15"/>
      <c r="BU13" s="174" t="s">
        <v>17</v>
      </c>
      <c r="BV13" s="15"/>
      <c r="BW13" s="19" t="str">
        <f t="shared" si="43"/>
        <v>-</v>
      </c>
      <c r="BX13" s="166"/>
      <c r="BY13" s="175"/>
      <c r="BZ13" s="16" t="s">
        <v>17</v>
      </c>
      <c r="CA13" s="175"/>
      <c r="CB13" s="17" t="str">
        <f t="shared" si="44"/>
        <v>-</v>
      </c>
      <c r="CC13" s="170"/>
      <c r="CD13" s="175"/>
      <c r="CE13" s="16" t="s">
        <v>17</v>
      </c>
      <c r="CF13" s="175"/>
      <c r="CG13" s="17" t="str">
        <f t="shared" si="45"/>
        <v>-</v>
      </c>
      <c r="CH13" s="170"/>
      <c r="CI13" s="175"/>
      <c r="CJ13" s="16" t="s">
        <v>17</v>
      </c>
      <c r="CK13" s="175"/>
      <c r="CL13" s="17" t="str">
        <f t="shared" si="46"/>
        <v>-</v>
      </c>
      <c r="CM13" s="170"/>
      <c r="CN13" s="175"/>
      <c r="CO13" s="16" t="s">
        <v>17</v>
      </c>
      <c r="CP13" s="175"/>
      <c r="CQ13" s="17" t="str">
        <f t="shared" si="47"/>
        <v>-</v>
      </c>
      <c r="CR13" s="170"/>
      <c r="CS13" s="175"/>
      <c r="CT13" s="16" t="s">
        <v>17</v>
      </c>
      <c r="CU13" s="175"/>
      <c r="CV13" s="17" t="str">
        <f t="shared" si="48"/>
        <v>-</v>
      </c>
      <c r="CW13" s="170"/>
      <c r="CX13" s="175"/>
      <c r="CY13" s="16" t="s">
        <v>17</v>
      </c>
      <c r="CZ13" s="175"/>
      <c r="DA13" s="17" t="str">
        <f t="shared" si="49"/>
        <v>-</v>
      </c>
      <c r="DB13" s="170"/>
      <c r="DC13" s="175"/>
      <c r="DD13" s="16" t="s">
        <v>17</v>
      </c>
      <c r="DE13" s="175"/>
      <c r="DF13" s="17" t="str">
        <f t="shared" si="50"/>
        <v>-</v>
      </c>
      <c r="DG13" s="170"/>
      <c r="DH13" s="175"/>
      <c r="DI13" s="16" t="s">
        <v>17</v>
      </c>
      <c r="DJ13" s="175"/>
      <c r="DK13" s="17" t="str">
        <f t="shared" si="51"/>
        <v>-</v>
      </c>
      <c r="DL13" s="170"/>
      <c r="DM13" s="175"/>
      <c r="DN13" s="16" t="s">
        <v>17</v>
      </c>
      <c r="DO13" s="175"/>
      <c r="DP13" s="17" t="str">
        <f t="shared" si="52"/>
        <v>-</v>
      </c>
      <c r="DQ13" s="170"/>
      <c r="DR13" s="175"/>
      <c r="DS13" s="16" t="s">
        <v>17</v>
      </c>
      <c r="DT13" s="175"/>
      <c r="DU13" s="17" t="str">
        <f t="shared" si="53"/>
        <v>-</v>
      </c>
      <c r="DV13" s="170"/>
      <c r="DW13" s="175"/>
      <c r="DX13" s="16" t="s">
        <v>17</v>
      </c>
      <c r="DY13" s="175"/>
      <c r="DZ13" s="17" t="str">
        <f t="shared" si="54"/>
        <v>-</v>
      </c>
      <c r="EA13" s="166"/>
      <c r="EB13" s="175"/>
      <c r="EC13" s="16" t="s">
        <v>17</v>
      </c>
      <c r="ED13" s="175"/>
      <c r="EE13" s="17" t="str">
        <f t="shared" si="55"/>
        <v>-</v>
      </c>
      <c r="EF13" s="166"/>
      <c r="EG13" s="175"/>
      <c r="EH13" s="16" t="s">
        <v>17</v>
      </c>
      <c r="EI13" s="175"/>
      <c r="EJ13" s="17" t="str">
        <f t="shared" si="56"/>
        <v>-</v>
      </c>
      <c r="EK13" s="166"/>
      <c r="EL13" s="175"/>
      <c r="EM13" s="16" t="s">
        <v>17</v>
      </c>
      <c r="EN13" s="175"/>
      <c r="EO13" s="17" t="str">
        <f t="shared" si="57"/>
        <v>-</v>
      </c>
      <c r="EP13" s="166"/>
      <c r="EQ13" s="175"/>
      <c r="ER13" s="16" t="s">
        <v>17</v>
      </c>
      <c r="ES13" s="175"/>
      <c r="ET13" s="17" t="str">
        <f t="shared" si="58"/>
        <v>-</v>
      </c>
      <c r="EU13" s="166"/>
      <c r="EV13" s="15"/>
      <c r="EW13" s="174" t="s">
        <v>17</v>
      </c>
      <c r="EX13" s="15"/>
      <c r="EY13" s="19" t="str">
        <f t="shared" si="59"/>
        <v>-</v>
      </c>
      <c r="EZ13" s="166"/>
      <c r="FA13" s="8"/>
    </row>
    <row r="14" spans="1:157" ht="17.399999999999999">
      <c r="A14" s="45" t="s">
        <v>78</v>
      </c>
      <c r="B14" s="46"/>
      <c r="C14" s="47" t="s">
        <v>17</v>
      </c>
      <c r="D14" s="46"/>
      <c r="E14" s="45" t="s">
        <v>80</v>
      </c>
      <c r="F14" s="166"/>
      <c r="G14" s="190"/>
      <c r="H14" s="187" t="s">
        <v>17</v>
      </c>
      <c r="I14" s="190"/>
      <c r="J14" s="48" t="str">
        <f t="shared" si="30"/>
        <v>-</v>
      </c>
      <c r="K14" s="178"/>
      <c r="L14" s="190"/>
      <c r="M14" s="187" t="s">
        <v>17</v>
      </c>
      <c r="N14" s="190"/>
      <c r="O14" s="48" t="str">
        <f t="shared" si="31"/>
        <v>-</v>
      </c>
      <c r="P14" s="178"/>
      <c r="Q14" s="190"/>
      <c r="R14" s="187" t="s">
        <v>17</v>
      </c>
      <c r="S14" s="190"/>
      <c r="T14" s="48" t="str">
        <f t="shared" si="32"/>
        <v>-</v>
      </c>
      <c r="U14" s="178"/>
      <c r="V14" s="190"/>
      <c r="W14" s="187" t="s">
        <v>17</v>
      </c>
      <c r="X14" s="190"/>
      <c r="Y14" s="48" t="str">
        <f t="shared" si="33"/>
        <v>-</v>
      </c>
      <c r="Z14" s="178"/>
      <c r="AA14" s="190"/>
      <c r="AB14" s="187" t="s">
        <v>17</v>
      </c>
      <c r="AC14" s="190"/>
      <c r="AD14" s="48" t="str">
        <f t="shared" si="34"/>
        <v>-</v>
      </c>
      <c r="AE14" s="173"/>
      <c r="AF14" s="190"/>
      <c r="AG14" s="187" t="s">
        <v>17</v>
      </c>
      <c r="AH14" s="190"/>
      <c r="AI14" s="48" t="str">
        <f t="shared" si="35"/>
        <v>-</v>
      </c>
      <c r="AJ14" s="178"/>
      <c r="AK14" s="190"/>
      <c r="AL14" s="187" t="s">
        <v>17</v>
      </c>
      <c r="AM14" s="190"/>
      <c r="AN14" s="48" t="str">
        <f t="shared" si="36"/>
        <v>-</v>
      </c>
      <c r="AO14" s="178"/>
      <c r="AP14" s="190"/>
      <c r="AQ14" s="187" t="s">
        <v>17</v>
      </c>
      <c r="AR14" s="190"/>
      <c r="AS14" s="48" t="str">
        <f t="shared" si="37"/>
        <v>-</v>
      </c>
      <c r="AT14" s="173"/>
      <c r="AU14" s="190"/>
      <c r="AV14" s="187" t="s">
        <v>17</v>
      </c>
      <c r="AW14" s="190"/>
      <c r="AX14" s="48" t="str">
        <f t="shared" si="38"/>
        <v>-</v>
      </c>
      <c r="AY14" s="168"/>
      <c r="AZ14" s="190"/>
      <c r="BA14" s="187" t="s">
        <v>17</v>
      </c>
      <c r="BB14" s="190"/>
      <c r="BC14" s="48" t="str">
        <f t="shared" si="39"/>
        <v>-</v>
      </c>
      <c r="BD14" s="169"/>
      <c r="BE14" s="190"/>
      <c r="BF14" s="188" t="s">
        <v>17</v>
      </c>
      <c r="BG14" s="190"/>
      <c r="BH14" s="49" t="str">
        <f t="shared" si="40"/>
        <v>-</v>
      </c>
      <c r="BI14" s="169"/>
      <c r="BJ14" s="190"/>
      <c r="BK14" s="188" t="s">
        <v>17</v>
      </c>
      <c r="BL14" s="190"/>
      <c r="BM14" s="49" t="str">
        <f t="shared" si="41"/>
        <v>-</v>
      </c>
      <c r="BN14" s="169"/>
      <c r="BO14" s="190"/>
      <c r="BP14" s="188" t="s">
        <v>17</v>
      </c>
      <c r="BQ14" s="190"/>
      <c r="BR14" s="49" t="str">
        <f t="shared" si="42"/>
        <v>-</v>
      </c>
      <c r="BS14" s="169"/>
      <c r="BT14" s="190"/>
      <c r="BU14" s="188" t="s">
        <v>17</v>
      </c>
      <c r="BV14" s="190"/>
      <c r="BW14" s="49" t="str">
        <f t="shared" si="43"/>
        <v>-</v>
      </c>
      <c r="BX14" s="166"/>
      <c r="BY14" s="189"/>
      <c r="BZ14" s="187" t="s">
        <v>17</v>
      </c>
      <c r="CA14" s="189"/>
      <c r="CB14" s="48" t="str">
        <f t="shared" si="44"/>
        <v>-</v>
      </c>
      <c r="CC14" s="170"/>
      <c r="CD14" s="189"/>
      <c r="CE14" s="187" t="s">
        <v>17</v>
      </c>
      <c r="CF14" s="189"/>
      <c r="CG14" s="48" t="str">
        <f t="shared" si="45"/>
        <v>-</v>
      </c>
      <c r="CH14" s="170"/>
      <c r="CI14" s="189"/>
      <c r="CJ14" s="187" t="s">
        <v>17</v>
      </c>
      <c r="CK14" s="189"/>
      <c r="CL14" s="48" t="str">
        <f t="shared" si="46"/>
        <v>-</v>
      </c>
      <c r="CM14" s="170"/>
      <c r="CN14" s="189"/>
      <c r="CO14" s="187" t="s">
        <v>17</v>
      </c>
      <c r="CP14" s="189"/>
      <c r="CQ14" s="48" t="str">
        <f t="shared" si="47"/>
        <v>-</v>
      </c>
      <c r="CR14" s="170"/>
      <c r="CS14" s="189"/>
      <c r="CT14" s="187" t="s">
        <v>17</v>
      </c>
      <c r="CU14" s="189"/>
      <c r="CV14" s="48" t="str">
        <f t="shared" si="48"/>
        <v>-</v>
      </c>
      <c r="CW14" s="170"/>
      <c r="CX14" s="189"/>
      <c r="CY14" s="187" t="s">
        <v>17</v>
      </c>
      <c r="CZ14" s="189"/>
      <c r="DA14" s="48" t="str">
        <f t="shared" si="49"/>
        <v>-</v>
      </c>
      <c r="DB14" s="170"/>
      <c r="DC14" s="189"/>
      <c r="DD14" s="187" t="s">
        <v>17</v>
      </c>
      <c r="DE14" s="189"/>
      <c r="DF14" s="48" t="str">
        <f t="shared" si="50"/>
        <v>-</v>
      </c>
      <c r="DG14" s="170"/>
      <c r="DH14" s="189"/>
      <c r="DI14" s="187" t="s">
        <v>17</v>
      </c>
      <c r="DJ14" s="189"/>
      <c r="DK14" s="48" t="str">
        <f t="shared" si="51"/>
        <v>-</v>
      </c>
      <c r="DL14" s="170"/>
      <c r="DM14" s="189"/>
      <c r="DN14" s="187" t="s">
        <v>17</v>
      </c>
      <c r="DO14" s="189"/>
      <c r="DP14" s="48" t="str">
        <f t="shared" si="52"/>
        <v>-</v>
      </c>
      <c r="DQ14" s="170"/>
      <c r="DR14" s="189"/>
      <c r="DS14" s="187" t="s">
        <v>17</v>
      </c>
      <c r="DT14" s="189"/>
      <c r="DU14" s="48" t="str">
        <f t="shared" si="53"/>
        <v>-</v>
      </c>
      <c r="DV14" s="170"/>
      <c r="DW14" s="189"/>
      <c r="DX14" s="187" t="s">
        <v>17</v>
      </c>
      <c r="DY14" s="189"/>
      <c r="DZ14" s="48" t="str">
        <f t="shared" si="54"/>
        <v>-</v>
      </c>
      <c r="EA14" s="166"/>
      <c r="EB14" s="189"/>
      <c r="EC14" s="187" t="s">
        <v>17</v>
      </c>
      <c r="ED14" s="189"/>
      <c r="EE14" s="48" t="str">
        <f t="shared" si="55"/>
        <v>-</v>
      </c>
      <c r="EF14" s="166"/>
      <c r="EG14" s="189"/>
      <c r="EH14" s="187" t="s">
        <v>17</v>
      </c>
      <c r="EI14" s="189"/>
      <c r="EJ14" s="48" t="str">
        <f t="shared" si="56"/>
        <v>-</v>
      </c>
      <c r="EK14" s="166"/>
      <c r="EL14" s="189"/>
      <c r="EM14" s="187" t="s">
        <v>17</v>
      </c>
      <c r="EN14" s="189"/>
      <c r="EO14" s="48" t="str">
        <f t="shared" si="57"/>
        <v>-</v>
      </c>
      <c r="EP14" s="166"/>
      <c r="EQ14" s="189"/>
      <c r="ER14" s="187" t="s">
        <v>17</v>
      </c>
      <c r="ES14" s="189"/>
      <c r="ET14" s="48" t="str">
        <f t="shared" si="58"/>
        <v>-</v>
      </c>
      <c r="EU14" s="166"/>
      <c r="EV14" s="190"/>
      <c r="EW14" s="188" t="s">
        <v>17</v>
      </c>
      <c r="EX14" s="190"/>
      <c r="EY14" s="49" t="str">
        <f t="shared" si="59"/>
        <v>-</v>
      </c>
      <c r="EZ14" s="166"/>
      <c r="FA14" s="8"/>
    </row>
    <row r="15" spans="1:157" ht="17.399999999999999">
      <c r="A15" s="12" t="s">
        <v>81</v>
      </c>
      <c r="B15" s="13"/>
      <c r="C15" s="14" t="s">
        <v>17</v>
      </c>
      <c r="D15" s="13"/>
      <c r="E15" s="12" t="s">
        <v>78</v>
      </c>
      <c r="F15" s="166"/>
      <c r="G15" s="29"/>
      <c r="H15" s="16" t="s">
        <v>17</v>
      </c>
      <c r="I15" s="29"/>
      <c r="J15" s="17" t="str">
        <f t="shared" si="30"/>
        <v>-</v>
      </c>
      <c r="K15" s="178"/>
      <c r="L15" s="29"/>
      <c r="M15" s="16" t="s">
        <v>17</v>
      </c>
      <c r="N15" s="29"/>
      <c r="O15" s="17" t="str">
        <f t="shared" si="31"/>
        <v>-</v>
      </c>
      <c r="P15" s="178"/>
      <c r="Q15" s="29"/>
      <c r="R15" s="16" t="s">
        <v>17</v>
      </c>
      <c r="S15" s="29"/>
      <c r="T15" s="17" t="str">
        <f t="shared" si="32"/>
        <v>-</v>
      </c>
      <c r="U15" s="178"/>
      <c r="V15" s="29"/>
      <c r="W15" s="16" t="s">
        <v>17</v>
      </c>
      <c r="X15" s="29"/>
      <c r="Y15" s="17" t="str">
        <f t="shared" si="33"/>
        <v>-</v>
      </c>
      <c r="Z15" s="178"/>
      <c r="AA15" s="29"/>
      <c r="AB15" s="16" t="s">
        <v>17</v>
      </c>
      <c r="AC15" s="29"/>
      <c r="AD15" s="17" t="str">
        <f t="shared" si="34"/>
        <v>-</v>
      </c>
      <c r="AE15" s="173"/>
      <c r="AF15" s="29"/>
      <c r="AG15" s="16" t="s">
        <v>17</v>
      </c>
      <c r="AH15" s="29"/>
      <c r="AI15" s="17" t="str">
        <f t="shared" si="35"/>
        <v>-</v>
      </c>
      <c r="AJ15" s="178"/>
      <c r="AK15" s="29"/>
      <c r="AL15" s="16" t="s">
        <v>17</v>
      </c>
      <c r="AM15" s="29"/>
      <c r="AN15" s="17" t="str">
        <f t="shared" si="36"/>
        <v>-</v>
      </c>
      <c r="AO15" s="178"/>
      <c r="AP15" s="29"/>
      <c r="AQ15" s="16" t="s">
        <v>17</v>
      </c>
      <c r="AR15" s="29"/>
      <c r="AS15" s="17" t="str">
        <f t="shared" si="37"/>
        <v>-</v>
      </c>
      <c r="AT15" s="173"/>
      <c r="AU15" s="29"/>
      <c r="AV15" s="16" t="s">
        <v>17</v>
      </c>
      <c r="AW15" s="29"/>
      <c r="AX15" s="17" t="str">
        <f t="shared" si="38"/>
        <v>-</v>
      </c>
      <c r="AY15" s="168"/>
      <c r="AZ15" s="29"/>
      <c r="BA15" s="16" t="s">
        <v>17</v>
      </c>
      <c r="BB15" s="29"/>
      <c r="BC15" s="17" t="str">
        <f t="shared" si="39"/>
        <v>-</v>
      </c>
      <c r="BD15" s="169"/>
      <c r="BE15" s="29"/>
      <c r="BF15" s="174" t="s">
        <v>17</v>
      </c>
      <c r="BG15" s="29"/>
      <c r="BH15" s="19" t="str">
        <f t="shared" si="40"/>
        <v>-</v>
      </c>
      <c r="BI15" s="169"/>
      <c r="BJ15" s="29"/>
      <c r="BK15" s="174" t="s">
        <v>17</v>
      </c>
      <c r="BL15" s="29"/>
      <c r="BM15" s="19" t="str">
        <f t="shared" si="41"/>
        <v>-</v>
      </c>
      <c r="BN15" s="169"/>
      <c r="BO15" s="29"/>
      <c r="BP15" s="174" t="s">
        <v>17</v>
      </c>
      <c r="BQ15" s="29"/>
      <c r="BR15" s="19" t="str">
        <f t="shared" si="42"/>
        <v>-</v>
      </c>
      <c r="BS15" s="169"/>
      <c r="BT15" s="29"/>
      <c r="BU15" s="174" t="s">
        <v>17</v>
      </c>
      <c r="BV15" s="29"/>
      <c r="BW15" s="19" t="str">
        <f t="shared" si="43"/>
        <v>-</v>
      </c>
      <c r="BX15" s="166"/>
      <c r="BY15" s="175"/>
      <c r="BZ15" s="16" t="s">
        <v>17</v>
      </c>
      <c r="CA15" s="175"/>
      <c r="CB15" s="17" t="str">
        <f t="shared" si="44"/>
        <v>-</v>
      </c>
      <c r="CC15" s="170"/>
      <c r="CD15" s="175"/>
      <c r="CE15" s="16" t="s">
        <v>17</v>
      </c>
      <c r="CF15" s="175"/>
      <c r="CG15" s="17" t="str">
        <f t="shared" si="45"/>
        <v>-</v>
      </c>
      <c r="CH15" s="170"/>
      <c r="CI15" s="175"/>
      <c r="CJ15" s="16" t="s">
        <v>17</v>
      </c>
      <c r="CK15" s="175"/>
      <c r="CL15" s="17" t="str">
        <f t="shared" si="46"/>
        <v>-</v>
      </c>
      <c r="CM15" s="170"/>
      <c r="CN15" s="175"/>
      <c r="CO15" s="16" t="s">
        <v>17</v>
      </c>
      <c r="CP15" s="175"/>
      <c r="CQ15" s="17" t="str">
        <f t="shared" si="47"/>
        <v>-</v>
      </c>
      <c r="CR15" s="170"/>
      <c r="CS15" s="175"/>
      <c r="CT15" s="16" t="s">
        <v>17</v>
      </c>
      <c r="CU15" s="175"/>
      <c r="CV15" s="17" t="str">
        <f t="shared" si="48"/>
        <v>-</v>
      </c>
      <c r="CW15" s="170"/>
      <c r="CX15" s="175"/>
      <c r="CY15" s="16" t="s">
        <v>17</v>
      </c>
      <c r="CZ15" s="175"/>
      <c r="DA15" s="17" t="str">
        <f t="shared" si="49"/>
        <v>-</v>
      </c>
      <c r="DB15" s="170"/>
      <c r="DC15" s="175"/>
      <c r="DD15" s="16" t="s">
        <v>17</v>
      </c>
      <c r="DE15" s="175"/>
      <c r="DF15" s="17" t="str">
        <f t="shared" si="50"/>
        <v>-</v>
      </c>
      <c r="DG15" s="170"/>
      <c r="DH15" s="175"/>
      <c r="DI15" s="16" t="s">
        <v>17</v>
      </c>
      <c r="DJ15" s="175"/>
      <c r="DK15" s="17" t="str">
        <f t="shared" si="51"/>
        <v>-</v>
      </c>
      <c r="DL15" s="170"/>
      <c r="DM15" s="175"/>
      <c r="DN15" s="16" t="s">
        <v>17</v>
      </c>
      <c r="DO15" s="175"/>
      <c r="DP15" s="17" t="str">
        <f t="shared" si="52"/>
        <v>-</v>
      </c>
      <c r="DQ15" s="170"/>
      <c r="DR15" s="175"/>
      <c r="DS15" s="16" t="s">
        <v>17</v>
      </c>
      <c r="DT15" s="175"/>
      <c r="DU15" s="17" t="str">
        <f t="shared" si="53"/>
        <v>-</v>
      </c>
      <c r="DV15" s="170"/>
      <c r="DW15" s="175"/>
      <c r="DX15" s="16" t="s">
        <v>17</v>
      </c>
      <c r="DY15" s="175"/>
      <c r="DZ15" s="17" t="str">
        <f t="shared" si="54"/>
        <v>-</v>
      </c>
      <c r="EA15" s="166"/>
      <c r="EB15" s="175"/>
      <c r="EC15" s="16" t="s">
        <v>17</v>
      </c>
      <c r="ED15" s="175"/>
      <c r="EE15" s="17" t="str">
        <f t="shared" si="55"/>
        <v>-</v>
      </c>
      <c r="EF15" s="166"/>
      <c r="EG15" s="175"/>
      <c r="EH15" s="16" t="s">
        <v>17</v>
      </c>
      <c r="EI15" s="175"/>
      <c r="EJ15" s="17" t="str">
        <f t="shared" si="56"/>
        <v>-</v>
      </c>
      <c r="EK15" s="166"/>
      <c r="EL15" s="175"/>
      <c r="EM15" s="16" t="s">
        <v>17</v>
      </c>
      <c r="EN15" s="175"/>
      <c r="EO15" s="17" t="str">
        <f t="shared" si="57"/>
        <v>-</v>
      </c>
      <c r="EP15" s="166"/>
      <c r="EQ15" s="175"/>
      <c r="ER15" s="16" t="s">
        <v>17</v>
      </c>
      <c r="ES15" s="175"/>
      <c r="ET15" s="17" t="str">
        <f t="shared" si="58"/>
        <v>-</v>
      </c>
      <c r="EU15" s="166"/>
      <c r="EV15" s="29"/>
      <c r="EW15" s="174" t="s">
        <v>17</v>
      </c>
      <c r="EX15" s="29"/>
      <c r="EY15" s="19" t="str">
        <f t="shared" si="59"/>
        <v>-</v>
      </c>
      <c r="EZ15" s="166"/>
      <c r="FA15" s="8"/>
    </row>
    <row r="16" spans="1:157" ht="17.399999999999999">
      <c r="A16" s="45" t="s">
        <v>79</v>
      </c>
      <c r="B16" s="46"/>
      <c r="C16" s="47" t="s">
        <v>17</v>
      </c>
      <c r="D16" s="46"/>
      <c r="E16" s="45" t="s">
        <v>80</v>
      </c>
      <c r="F16" s="166"/>
      <c r="G16" s="190"/>
      <c r="H16" s="187" t="s">
        <v>17</v>
      </c>
      <c r="I16" s="190"/>
      <c r="J16" s="48" t="str">
        <f t="shared" si="30"/>
        <v>-</v>
      </c>
      <c r="K16" s="178"/>
      <c r="L16" s="190"/>
      <c r="M16" s="187" t="s">
        <v>17</v>
      </c>
      <c r="N16" s="190"/>
      <c r="O16" s="48" t="str">
        <f t="shared" si="31"/>
        <v>-</v>
      </c>
      <c r="P16" s="178"/>
      <c r="Q16" s="190"/>
      <c r="R16" s="187" t="s">
        <v>17</v>
      </c>
      <c r="S16" s="190"/>
      <c r="T16" s="48" t="str">
        <f t="shared" si="32"/>
        <v>-</v>
      </c>
      <c r="U16" s="178"/>
      <c r="V16" s="190"/>
      <c r="W16" s="187" t="s">
        <v>17</v>
      </c>
      <c r="X16" s="190"/>
      <c r="Y16" s="48" t="str">
        <f t="shared" si="33"/>
        <v>-</v>
      </c>
      <c r="Z16" s="178"/>
      <c r="AA16" s="190"/>
      <c r="AB16" s="187" t="s">
        <v>17</v>
      </c>
      <c r="AC16" s="190"/>
      <c r="AD16" s="48" t="str">
        <f t="shared" si="34"/>
        <v>-</v>
      </c>
      <c r="AE16" s="173"/>
      <c r="AF16" s="190"/>
      <c r="AG16" s="187" t="s">
        <v>17</v>
      </c>
      <c r="AH16" s="190"/>
      <c r="AI16" s="48" t="str">
        <f t="shared" si="35"/>
        <v>-</v>
      </c>
      <c r="AJ16" s="178"/>
      <c r="AK16" s="190"/>
      <c r="AL16" s="187" t="s">
        <v>17</v>
      </c>
      <c r="AM16" s="190"/>
      <c r="AN16" s="48" t="str">
        <f t="shared" si="36"/>
        <v>-</v>
      </c>
      <c r="AO16" s="178"/>
      <c r="AP16" s="190"/>
      <c r="AQ16" s="187" t="s">
        <v>17</v>
      </c>
      <c r="AR16" s="190"/>
      <c r="AS16" s="48" t="str">
        <f t="shared" si="37"/>
        <v>-</v>
      </c>
      <c r="AT16" s="173"/>
      <c r="AU16" s="190"/>
      <c r="AV16" s="187" t="s">
        <v>17</v>
      </c>
      <c r="AW16" s="190"/>
      <c r="AX16" s="48" t="str">
        <f t="shared" si="38"/>
        <v>-</v>
      </c>
      <c r="AY16" s="168"/>
      <c r="AZ16" s="190"/>
      <c r="BA16" s="187" t="s">
        <v>17</v>
      </c>
      <c r="BB16" s="190"/>
      <c r="BC16" s="48" t="str">
        <f t="shared" si="39"/>
        <v>-</v>
      </c>
      <c r="BD16" s="169"/>
      <c r="BE16" s="190"/>
      <c r="BF16" s="188" t="s">
        <v>17</v>
      </c>
      <c r="BG16" s="190"/>
      <c r="BH16" s="49" t="str">
        <f t="shared" si="40"/>
        <v>-</v>
      </c>
      <c r="BI16" s="169"/>
      <c r="BJ16" s="190"/>
      <c r="BK16" s="188" t="s">
        <v>17</v>
      </c>
      <c r="BL16" s="190"/>
      <c r="BM16" s="49" t="str">
        <f t="shared" si="41"/>
        <v>-</v>
      </c>
      <c r="BN16" s="169"/>
      <c r="BO16" s="190"/>
      <c r="BP16" s="188" t="s">
        <v>17</v>
      </c>
      <c r="BQ16" s="190"/>
      <c r="BR16" s="49" t="str">
        <f t="shared" si="42"/>
        <v>-</v>
      </c>
      <c r="BS16" s="169"/>
      <c r="BT16" s="190"/>
      <c r="BU16" s="188" t="s">
        <v>17</v>
      </c>
      <c r="BV16" s="190"/>
      <c r="BW16" s="49" t="str">
        <f t="shared" si="43"/>
        <v>-</v>
      </c>
      <c r="BX16" s="166"/>
      <c r="BY16" s="189"/>
      <c r="BZ16" s="187" t="s">
        <v>17</v>
      </c>
      <c r="CA16" s="189"/>
      <c r="CB16" s="48" t="str">
        <f t="shared" si="44"/>
        <v>-</v>
      </c>
      <c r="CC16" s="170"/>
      <c r="CD16" s="189"/>
      <c r="CE16" s="187" t="s">
        <v>17</v>
      </c>
      <c r="CF16" s="189"/>
      <c r="CG16" s="48" t="str">
        <f t="shared" si="45"/>
        <v>-</v>
      </c>
      <c r="CH16" s="170"/>
      <c r="CI16" s="189"/>
      <c r="CJ16" s="187" t="s">
        <v>17</v>
      </c>
      <c r="CK16" s="189"/>
      <c r="CL16" s="48" t="str">
        <f t="shared" si="46"/>
        <v>-</v>
      </c>
      <c r="CM16" s="170"/>
      <c r="CN16" s="189"/>
      <c r="CO16" s="187" t="s">
        <v>17</v>
      </c>
      <c r="CP16" s="189"/>
      <c r="CQ16" s="48" t="str">
        <f t="shared" si="47"/>
        <v>-</v>
      </c>
      <c r="CR16" s="170"/>
      <c r="CS16" s="189"/>
      <c r="CT16" s="187" t="s">
        <v>17</v>
      </c>
      <c r="CU16" s="189"/>
      <c r="CV16" s="48" t="str">
        <f t="shared" si="48"/>
        <v>-</v>
      </c>
      <c r="CW16" s="170"/>
      <c r="CX16" s="189"/>
      <c r="CY16" s="187" t="s">
        <v>17</v>
      </c>
      <c r="CZ16" s="189"/>
      <c r="DA16" s="48" t="str">
        <f t="shared" si="49"/>
        <v>-</v>
      </c>
      <c r="DB16" s="170"/>
      <c r="DC16" s="189"/>
      <c r="DD16" s="187" t="s">
        <v>17</v>
      </c>
      <c r="DE16" s="189"/>
      <c r="DF16" s="48" t="str">
        <f t="shared" si="50"/>
        <v>-</v>
      </c>
      <c r="DG16" s="170"/>
      <c r="DH16" s="189"/>
      <c r="DI16" s="187" t="s">
        <v>17</v>
      </c>
      <c r="DJ16" s="189"/>
      <c r="DK16" s="48" t="str">
        <f t="shared" si="51"/>
        <v>-</v>
      </c>
      <c r="DL16" s="170"/>
      <c r="DM16" s="189"/>
      <c r="DN16" s="187" t="s">
        <v>17</v>
      </c>
      <c r="DO16" s="189"/>
      <c r="DP16" s="48" t="str">
        <f t="shared" si="52"/>
        <v>-</v>
      </c>
      <c r="DQ16" s="170"/>
      <c r="DR16" s="189"/>
      <c r="DS16" s="187" t="s">
        <v>17</v>
      </c>
      <c r="DT16" s="189"/>
      <c r="DU16" s="48" t="str">
        <f t="shared" si="53"/>
        <v>-</v>
      </c>
      <c r="DV16" s="170"/>
      <c r="DW16" s="189"/>
      <c r="DX16" s="187" t="s">
        <v>17</v>
      </c>
      <c r="DY16" s="189"/>
      <c r="DZ16" s="48" t="str">
        <f t="shared" si="54"/>
        <v>-</v>
      </c>
      <c r="EA16" s="166"/>
      <c r="EB16" s="189"/>
      <c r="EC16" s="187" t="s">
        <v>17</v>
      </c>
      <c r="ED16" s="189"/>
      <c r="EE16" s="48" t="str">
        <f t="shared" si="55"/>
        <v>-</v>
      </c>
      <c r="EF16" s="166"/>
      <c r="EG16" s="189"/>
      <c r="EH16" s="187" t="s">
        <v>17</v>
      </c>
      <c r="EI16" s="189"/>
      <c r="EJ16" s="48" t="str">
        <f t="shared" si="56"/>
        <v>-</v>
      </c>
      <c r="EK16" s="166"/>
      <c r="EL16" s="189"/>
      <c r="EM16" s="187" t="s">
        <v>17</v>
      </c>
      <c r="EN16" s="189"/>
      <c r="EO16" s="48" t="str">
        <f t="shared" si="57"/>
        <v>-</v>
      </c>
      <c r="EP16" s="166"/>
      <c r="EQ16" s="189"/>
      <c r="ER16" s="187" t="s">
        <v>17</v>
      </c>
      <c r="ES16" s="189"/>
      <c r="ET16" s="48" t="str">
        <f t="shared" si="58"/>
        <v>-</v>
      </c>
      <c r="EU16" s="166"/>
      <c r="EV16" s="190"/>
      <c r="EW16" s="188" t="s">
        <v>17</v>
      </c>
      <c r="EX16" s="190"/>
      <c r="EY16" s="49" t="str">
        <f t="shared" si="59"/>
        <v>-</v>
      </c>
      <c r="EZ16" s="166"/>
      <c r="FA16" s="8"/>
    </row>
    <row r="17" spans="1:157" ht="17.399999999999999">
      <c r="A17" s="50"/>
      <c r="B17" s="50"/>
      <c r="C17" s="51"/>
      <c r="D17" s="50"/>
      <c r="E17" s="50"/>
      <c r="F17" s="166"/>
      <c r="G17" s="321">
        <f>SUM(J11:J16)</f>
        <v>0</v>
      </c>
      <c r="H17" s="301"/>
      <c r="I17" s="301"/>
      <c r="J17" s="179"/>
      <c r="K17" s="180"/>
      <c r="L17" s="321">
        <f>SUM(O11:O16)</f>
        <v>0</v>
      </c>
      <c r="M17" s="301"/>
      <c r="N17" s="301"/>
      <c r="O17" s="179"/>
      <c r="P17" s="180"/>
      <c r="Q17" s="321">
        <f>SUM(T11:T16)</f>
        <v>0</v>
      </c>
      <c r="R17" s="301"/>
      <c r="S17" s="301"/>
      <c r="T17" s="179"/>
      <c r="U17" s="180"/>
      <c r="V17" s="321">
        <f>SUM(Y11:Y16)</f>
        <v>0</v>
      </c>
      <c r="W17" s="301"/>
      <c r="X17" s="301"/>
      <c r="Y17" s="179"/>
      <c r="Z17" s="180"/>
      <c r="AA17" s="321">
        <f>SUM(AD11:AD16)</f>
        <v>0</v>
      </c>
      <c r="AB17" s="301"/>
      <c r="AC17" s="301"/>
      <c r="AD17" s="179"/>
      <c r="AE17" s="180"/>
      <c r="AF17" s="321">
        <f>SUM(AI11:AI16)</f>
        <v>0</v>
      </c>
      <c r="AG17" s="301"/>
      <c r="AH17" s="301"/>
      <c r="AI17" s="179"/>
      <c r="AJ17" s="180"/>
      <c r="AK17" s="321">
        <f>SUM(AN11:AN16)</f>
        <v>0</v>
      </c>
      <c r="AL17" s="301"/>
      <c r="AM17" s="301"/>
      <c r="AN17" s="179"/>
      <c r="AO17" s="180"/>
      <c r="AP17" s="321">
        <f>SUM(AS11:AS16)</f>
        <v>0</v>
      </c>
      <c r="AQ17" s="301"/>
      <c r="AR17" s="301"/>
      <c r="AS17" s="181"/>
      <c r="AT17" s="180"/>
      <c r="AU17" s="321">
        <f>SUM(AX11:AX16)</f>
        <v>0</v>
      </c>
      <c r="AV17" s="301"/>
      <c r="AW17" s="301"/>
      <c r="AX17" s="182"/>
      <c r="AY17" s="168"/>
      <c r="AZ17" s="321">
        <f>SUM(BC11:BC16)</f>
        <v>0</v>
      </c>
      <c r="BA17" s="301"/>
      <c r="BB17" s="301"/>
      <c r="BC17" s="182"/>
      <c r="BD17" s="169"/>
      <c r="BE17" s="321">
        <f>SUM(BH11:BH16)</f>
        <v>0</v>
      </c>
      <c r="BF17" s="301"/>
      <c r="BG17" s="301"/>
      <c r="BH17" s="182"/>
      <c r="BI17" s="169"/>
      <c r="BJ17" s="321">
        <f>SUM(BM11:BM16)</f>
        <v>0</v>
      </c>
      <c r="BK17" s="301"/>
      <c r="BL17" s="301"/>
      <c r="BM17" s="182"/>
      <c r="BN17" s="169"/>
      <c r="BO17" s="321">
        <f>SUM(BR11:BR16)</f>
        <v>0</v>
      </c>
      <c r="BP17" s="301"/>
      <c r="BQ17" s="301"/>
      <c r="BR17" s="182"/>
      <c r="BS17" s="169"/>
      <c r="BT17" s="321">
        <f>SUM(BW11:BW16)</f>
        <v>0</v>
      </c>
      <c r="BU17" s="301"/>
      <c r="BV17" s="301"/>
      <c r="BW17" s="182"/>
      <c r="BX17" s="166"/>
      <c r="BY17" s="321">
        <f>SUM(CB11:CB16)</f>
        <v>0</v>
      </c>
      <c r="BZ17" s="301"/>
      <c r="CA17" s="301"/>
      <c r="CB17" s="182"/>
      <c r="CC17" s="183"/>
      <c r="CD17" s="321">
        <f>SUM(CG11:CG16)</f>
        <v>0</v>
      </c>
      <c r="CE17" s="301"/>
      <c r="CF17" s="301"/>
      <c r="CG17" s="182"/>
      <c r="CH17" s="183"/>
      <c r="CI17" s="321">
        <f>SUM(CL11:CL16)</f>
        <v>0</v>
      </c>
      <c r="CJ17" s="301"/>
      <c r="CK17" s="301"/>
      <c r="CL17" s="182"/>
      <c r="CM17" s="183"/>
      <c r="CN17" s="321">
        <f>SUM(CQ11:CQ16)</f>
        <v>0</v>
      </c>
      <c r="CO17" s="301"/>
      <c r="CP17" s="301"/>
      <c r="CQ17" s="182"/>
      <c r="CR17" s="183"/>
      <c r="CS17" s="321">
        <f>SUM(CV11:CV16)</f>
        <v>0</v>
      </c>
      <c r="CT17" s="301"/>
      <c r="CU17" s="301"/>
      <c r="CV17" s="182"/>
      <c r="CW17" s="183"/>
      <c r="CX17" s="321">
        <f>SUM(DA11:DA16)</f>
        <v>0</v>
      </c>
      <c r="CY17" s="301"/>
      <c r="CZ17" s="301"/>
      <c r="DA17" s="182"/>
      <c r="DB17" s="183"/>
      <c r="DC17" s="321">
        <f>SUM(DF11:DF16)</f>
        <v>0</v>
      </c>
      <c r="DD17" s="301"/>
      <c r="DE17" s="301"/>
      <c r="DF17" s="182"/>
      <c r="DG17" s="183"/>
      <c r="DH17" s="321">
        <f>SUM(DK11:DK16)</f>
        <v>0</v>
      </c>
      <c r="DI17" s="301"/>
      <c r="DJ17" s="301"/>
      <c r="DK17" s="182"/>
      <c r="DL17" s="183"/>
      <c r="DM17" s="321">
        <f>SUM(DP11:DP16)</f>
        <v>0</v>
      </c>
      <c r="DN17" s="301"/>
      <c r="DO17" s="301"/>
      <c r="DP17" s="182"/>
      <c r="DQ17" s="183"/>
      <c r="DR17" s="321">
        <f>SUM(DU11:DU16)</f>
        <v>0</v>
      </c>
      <c r="DS17" s="301"/>
      <c r="DT17" s="301"/>
      <c r="DU17" s="182"/>
      <c r="DV17" s="183"/>
      <c r="DW17" s="321">
        <f>SUM(DZ11:DZ16)</f>
        <v>0</v>
      </c>
      <c r="DX17" s="301"/>
      <c r="DY17" s="301"/>
      <c r="DZ17" s="182"/>
      <c r="EA17" s="166"/>
      <c r="EB17" s="321">
        <f>SUM(EE11:EE16)</f>
        <v>0</v>
      </c>
      <c r="EC17" s="301"/>
      <c r="ED17" s="301"/>
      <c r="EE17" s="182"/>
      <c r="EF17" s="166"/>
      <c r="EG17" s="321">
        <f>SUM(EJ11:EJ16)</f>
        <v>0</v>
      </c>
      <c r="EH17" s="301"/>
      <c r="EI17" s="301"/>
      <c r="EJ17" s="182"/>
      <c r="EK17" s="166"/>
      <c r="EL17" s="321">
        <f>SUM(EO11:EO16)</f>
        <v>0</v>
      </c>
      <c r="EM17" s="301"/>
      <c r="EN17" s="301"/>
      <c r="EO17" s="182"/>
      <c r="EP17" s="166"/>
      <c r="EQ17" s="321">
        <f>SUM(ET11:ET16)</f>
        <v>0</v>
      </c>
      <c r="ER17" s="301"/>
      <c r="ES17" s="301"/>
      <c r="ET17" s="182"/>
      <c r="EU17" s="166"/>
      <c r="EV17" s="321">
        <f>SUM(EY11:EY16)</f>
        <v>0</v>
      </c>
      <c r="EW17" s="301"/>
      <c r="EX17" s="301"/>
      <c r="EY17" s="182"/>
      <c r="EZ17" s="166"/>
      <c r="FA17" s="8"/>
    </row>
    <row r="18" spans="1:157" ht="17.399999999999999">
      <c r="A18" s="329" t="s">
        <v>26</v>
      </c>
      <c r="B18" s="301"/>
      <c r="C18" s="301"/>
      <c r="D18" s="301"/>
      <c r="E18" s="301"/>
      <c r="F18" s="166"/>
      <c r="G18" s="329"/>
      <c r="H18" s="301"/>
      <c r="I18" s="301"/>
      <c r="J18" s="191"/>
      <c r="K18" s="167"/>
      <c r="L18" s="329"/>
      <c r="M18" s="301"/>
      <c r="N18" s="301"/>
      <c r="O18" s="191"/>
      <c r="P18" s="167"/>
      <c r="Q18" s="329"/>
      <c r="R18" s="301"/>
      <c r="S18" s="301"/>
      <c r="T18" s="191"/>
      <c r="U18" s="167"/>
      <c r="V18" s="329"/>
      <c r="W18" s="301"/>
      <c r="X18" s="301"/>
      <c r="Y18" s="191"/>
      <c r="Z18" s="167"/>
      <c r="AA18" s="329"/>
      <c r="AB18" s="301"/>
      <c r="AC18" s="301"/>
      <c r="AD18" s="191"/>
      <c r="AE18" s="167"/>
      <c r="AF18" s="329"/>
      <c r="AG18" s="301"/>
      <c r="AH18" s="301"/>
      <c r="AI18" s="191"/>
      <c r="AJ18" s="167"/>
      <c r="AK18" s="329"/>
      <c r="AL18" s="301"/>
      <c r="AM18" s="301"/>
      <c r="AN18" s="191"/>
      <c r="AO18" s="167"/>
      <c r="AP18" s="329"/>
      <c r="AQ18" s="301"/>
      <c r="AR18" s="301"/>
      <c r="AS18" s="191"/>
      <c r="AT18" s="167"/>
      <c r="AU18" s="329"/>
      <c r="AV18" s="301"/>
      <c r="AW18" s="301"/>
      <c r="AX18" s="191"/>
      <c r="AY18" s="168"/>
      <c r="AZ18" s="329"/>
      <c r="BA18" s="301"/>
      <c r="BB18" s="301"/>
      <c r="BC18" s="191"/>
      <c r="BD18" s="169"/>
      <c r="BE18" s="329"/>
      <c r="BF18" s="301"/>
      <c r="BG18" s="301"/>
      <c r="BH18" s="191"/>
      <c r="BI18" s="169"/>
      <c r="BJ18" s="329"/>
      <c r="BK18" s="301"/>
      <c r="BL18" s="301"/>
      <c r="BM18" s="191"/>
      <c r="BN18" s="169"/>
      <c r="BO18" s="329"/>
      <c r="BP18" s="301"/>
      <c r="BQ18" s="301"/>
      <c r="BR18" s="52"/>
      <c r="BS18" s="169"/>
      <c r="BT18" s="329"/>
      <c r="BU18" s="301"/>
      <c r="BV18" s="301"/>
      <c r="BW18" s="52"/>
      <c r="BX18" s="166"/>
      <c r="BY18" s="342"/>
      <c r="BZ18" s="301"/>
      <c r="CA18" s="301"/>
      <c r="CB18" s="192"/>
      <c r="CC18" s="170"/>
      <c r="CD18" s="342"/>
      <c r="CE18" s="301"/>
      <c r="CF18" s="301"/>
      <c r="CG18" s="192"/>
      <c r="CH18" s="170"/>
      <c r="CI18" s="342"/>
      <c r="CJ18" s="301"/>
      <c r="CK18" s="301"/>
      <c r="CL18" s="192"/>
      <c r="CM18" s="170"/>
      <c r="CN18" s="342"/>
      <c r="CO18" s="301"/>
      <c r="CP18" s="301"/>
      <c r="CQ18" s="192"/>
      <c r="CR18" s="170"/>
      <c r="CS18" s="342"/>
      <c r="CT18" s="301"/>
      <c r="CU18" s="301"/>
      <c r="CV18" s="192"/>
      <c r="CW18" s="170"/>
      <c r="CX18" s="342"/>
      <c r="CY18" s="301"/>
      <c r="CZ18" s="301"/>
      <c r="DA18" s="192"/>
      <c r="DB18" s="170"/>
      <c r="DC18" s="342"/>
      <c r="DD18" s="301"/>
      <c r="DE18" s="301"/>
      <c r="DF18" s="192"/>
      <c r="DG18" s="170"/>
      <c r="DH18" s="342"/>
      <c r="DI18" s="301"/>
      <c r="DJ18" s="301"/>
      <c r="DK18" s="192"/>
      <c r="DL18" s="170"/>
      <c r="DM18" s="342"/>
      <c r="DN18" s="301"/>
      <c r="DO18" s="301"/>
      <c r="DP18" s="52"/>
      <c r="DQ18" s="170"/>
      <c r="DR18" s="342"/>
      <c r="DS18" s="301"/>
      <c r="DT18" s="301"/>
      <c r="DU18" s="52"/>
      <c r="DV18" s="170"/>
      <c r="DW18" s="342"/>
      <c r="DX18" s="301"/>
      <c r="DY18" s="301"/>
      <c r="DZ18" s="52"/>
      <c r="EA18" s="166"/>
      <c r="EB18" s="342"/>
      <c r="EC18" s="301"/>
      <c r="ED18" s="301"/>
      <c r="EE18" s="58"/>
      <c r="EF18" s="166"/>
      <c r="EG18" s="342"/>
      <c r="EH18" s="301"/>
      <c r="EI18" s="301"/>
      <c r="EJ18" s="52"/>
      <c r="EK18" s="166"/>
      <c r="EL18" s="342"/>
      <c r="EM18" s="301"/>
      <c r="EN18" s="301"/>
      <c r="EO18" s="52"/>
      <c r="EP18" s="166"/>
      <c r="EQ18" s="342"/>
      <c r="ER18" s="301"/>
      <c r="ES18" s="301"/>
      <c r="ET18" s="52"/>
      <c r="EU18" s="166"/>
      <c r="EV18" s="329"/>
      <c r="EW18" s="301"/>
      <c r="EX18" s="301"/>
      <c r="EY18" s="52"/>
      <c r="EZ18" s="166"/>
      <c r="FA18" s="8"/>
    </row>
    <row r="19" spans="1:157" ht="17.399999999999999">
      <c r="A19" s="12" t="s">
        <v>82</v>
      </c>
      <c r="B19" s="13"/>
      <c r="C19" s="14" t="s">
        <v>17</v>
      </c>
      <c r="D19" s="13"/>
      <c r="E19" s="12" t="s">
        <v>83</v>
      </c>
      <c r="F19" s="166"/>
      <c r="G19" s="15"/>
      <c r="H19" s="16" t="s">
        <v>17</v>
      </c>
      <c r="I19" s="15"/>
      <c r="J19" s="17" t="str">
        <f t="shared" ref="J19:J24" si="60">IF(OR(B19="", D19=""), "-",
  IF(OR(G19="", I19=""), 0,
    IF(AND(G19=B19, I19=D19), 10,
      IF(AND(OR(AND(B19&gt;D19, G19&gt;I19), AND(B19&lt;D19, G19&lt;I19), AND(B19=D19, G19=I19)), OR(G19=B19, I19=D19)), 7,
        IF(OR(AND(B19&gt;D19, G19&gt;I19), AND(B19&lt;D19, G19&lt;I19), AND(B19=D19, G19=I19)), 5,
          IF(OR(G19=B19, I19=D19), 2, 0)
        )
      )
    )
  )
)</f>
        <v>-</v>
      </c>
      <c r="K19" s="173"/>
      <c r="L19" s="15"/>
      <c r="M19" s="16" t="s">
        <v>17</v>
      </c>
      <c r="N19" s="15"/>
      <c r="O19" s="17" t="str">
        <f t="shared" ref="O19:O24" si="61">IF(OR(B19="", D19=""), "-",
  IF(OR(L19="", N19=""), 0,
    IF(AND(L19=B19, N19=D19), 10,
      IF(AND(OR(AND(B19&gt;D19, L19&gt;N19), AND(B19&lt;D19, L19&lt;N19), AND(B19=D19, L19=N19)), OR(L19=B19, N19=D19)), 7,
        IF(OR(AND(B19&gt;D19, L19&gt;N19), AND(B19&lt;D19, L19&lt;N19), AND(B19=D19, L19=N19)), 5,
          IF(OR(L19=B19, N19=D19), 2, 0)
        )
      )
    )
  )
)</f>
        <v>-</v>
      </c>
      <c r="P19" s="173"/>
      <c r="Q19" s="15"/>
      <c r="R19" s="16" t="s">
        <v>17</v>
      </c>
      <c r="S19" s="15"/>
      <c r="T19" s="17" t="str">
        <f t="shared" ref="T19:T24" si="62">IF(OR(B19="", D19=""), "-",
  IF(OR(Q19="", S19=""), 0,
    IF(AND(Q19=B19, S19=D19), 10,
      IF(AND(OR(AND(B19&gt;D19, Q19&gt;S19), AND(B19&lt;D19, Q19&lt;S19), AND(B19=D19, Q19=S19)), OR(Q19=B19, S19=D19)), 7,
        IF(OR(AND(B19&gt;D19, Q19&gt;S19), AND(B19&lt;D19, Q19&lt;S19), AND(B19=D19, Q19=S19)), 5,
          IF(OR(Q19=B19, S19=D19), 2, 0)
        )
      )
    )
  )
)</f>
        <v>-</v>
      </c>
      <c r="U19" s="173"/>
      <c r="V19" s="15"/>
      <c r="W19" s="16" t="s">
        <v>17</v>
      </c>
      <c r="X19" s="15"/>
      <c r="Y19" s="17" t="str">
        <f t="shared" ref="Y19:Y24" si="63">IF(OR(B19="", D19=""), "-",
  IF(OR(V19="", X19=""), 0,
    IF(AND(V19=B19, X19=D19), 10,
      IF(AND(OR(AND(B19&gt;D19, V19&gt;X19), AND(B19&lt;D19, V19&lt;X19), AND(B19=D19, V19=X19)), OR(V19=B19, X19=D19)), 7,
        IF(OR(AND(B19&gt;D19, V19&gt;X19), AND(B19&lt;D19, V19&lt;X19), AND(B19=D19, V19=X19)), 5,
          IF(OR(V19=B19, X19=D19), 2, 0)
        )
      )
    )
  )
)</f>
        <v>-</v>
      </c>
      <c r="Z19" s="173"/>
      <c r="AA19" s="15"/>
      <c r="AB19" s="16" t="s">
        <v>17</v>
      </c>
      <c r="AC19" s="15"/>
      <c r="AD19" s="17" t="str">
        <f t="shared" ref="AD19:AD24" si="64">IF(OR(B19="", D19=""), "-",
  IF(OR(AA19="", AC19=""), 0,
    IF(AND(AA19=B19, AC19=D19), 10,
      IF(AND(OR(AND(B19&gt;D19, AA19&gt;AC19), AND(B19&lt;D19, AA19&lt;AC19), AND(B19=D19, AA19=AC19)), OR(AA19=B19, AC19=D19)), 7,
        IF(OR(AND(B19&gt;D19, AA19&gt;AC19), AND(B19&lt;D19, AA19&lt;AC19), AND(B19=D19, AA19=AC19)), 5,
          IF(OR(AA19=B19, AC19=D19), 2, 0)
        )
      )
    )
  )
)</f>
        <v>-</v>
      </c>
      <c r="AE19" s="173"/>
      <c r="AF19" s="15"/>
      <c r="AG19" s="16" t="s">
        <v>17</v>
      </c>
      <c r="AH19" s="15"/>
      <c r="AI19" s="17" t="str">
        <f t="shared" ref="AI19:AI24" si="65">IF(OR(B19="", D19=""), "-",
  IF(OR(AF19="", AH19=""), 0,
    IF(AND(AF19=B19, AH19=D19), 10,
      IF(AND(OR(AND(B19&gt;D19, AF19&gt;AH19), AND(B19&lt;D19, AF19&lt;AH19), AND(B19=D19, AF19=AH19)), OR(AF19=B19, AH19=D19)), 7,
        IF(OR(AND(B19&gt;D19, AF19&gt;AH19), AND(B19&lt;D19, AF19&lt;AH19), AND(B19=D19, AF19=AH19)), 5,
          IF(OR(AF19=B19, AH19=D19), 2, 0)
        )
      )
    )
  )
)</f>
        <v>-</v>
      </c>
      <c r="AJ19" s="173"/>
      <c r="AK19" s="15"/>
      <c r="AL19" s="16" t="s">
        <v>17</v>
      </c>
      <c r="AM19" s="15"/>
      <c r="AN19" s="17" t="str">
        <f t="shared" ref="AN19:AN24" si="66">IF(OR(B19="", D19=""), "-",
  IF(OR(AK19="", AM19=""), 0,
    IF(AND(AK19=B19, AM19=D19), 10,
      IF(AND(OR(AND(B19&gt;D19, AK19&gt;AM19), AND(B19&lt;D19, AK19&lt;AM19), AND(B19=D19, AK19=AM19)), OR(AK19=B19, AM19=D19)), 7,
        IF(OR(AND(B19&gt;D19, AK19&gt;AM19), AND(B19&lt;D19, AK19&lt;AM19), AND(B19=D19, AK19=AM19)), 5,
          IF(OR(AK19=B19, AM19=D19), 2, 0)
        )
      )
    )
  )
)</f>
        <v>-</v>
      </c>
      <c r="AO19" s="173"/>
      <c r="AP19" s="15"/>
      <c r="AQ19" s="16" t="s">
        <v>17</v>
      </c>
      <c r="AR19" s="15"/>
      <c r="AS19" s="17" t="str">
        <f t="shared" ref="AS19:AS24" si="67">IF(OR(B19="", D19=""), "-",
  IF(OR(AP19="", AR19=""), 0,
    IF(AND(AP19=B19, AR19=D19), 10,
      IF(AND(OR(AND(B19&gt;D19, AP19&gt;AR19), AND(B19&lt;D19, AP19&lt;AR19), AND(B19=D19, AP19=AR19)), OR(AP19=B19, AR19=D19)), 7,
        IF(OR(AND(B19&gt;D19, AP19&gt;AR19), AND(B19&lt;D19, AP19&lt;AR19), AND(B19=D19, AP19=AR19)), 5,
          IF(OR(AP19=B19, AR19=D19), 2, 0)
        )
      )
    )
  )
)</f>
        <v>-</v>
      </c>
      <c r="AT19" s="173"/>
      <c r="AU19" s="15"/>
      <c r="AV19" s="16" t="s">
        <v>17</v>
      </c>
      <c r="AW19" s="15"/>
      <c r="AX19" s="17" t="str">
        <f t="shared" ref="AX19:AX24" si="68">IF(OR(B19="", D19=""), "-",
  IF(OR(AU19="", AW19=""), 0,
    IF(AND(AU19=B19, AW19=D19), 10,
      IF(AND(OR(AND(B19&gt;D19, AU19&gt;AW19), AND(B19&lt;D19, AU19&lt;AW19), AND(B19=D19, AU19=AW19)), OR(AU19=B19, AW19=D19)), 7,
        IF(OR(AND(B19&gt;D19, AU19&gt;AW19), AND(B19&lt;D19, AU19&lt;AW19), AND(B19=D19, AU19=AW19)), 5,
          IF(OR(AU19=B19, AW19=D19), 2, 0)
        )
      )
    )
  )
)</f>
        <v>-</v>
      </c>
      <c r="AY19" s="168"/>
      <c r="AZ19" s="15"/>
      <c r="BA19" s="16" t="s">
        <v>17</v>
      </c>
      <c r="BB19" s="15"/>
      <c r="BC19" s="17" t="str">
        <f t="shared" ref="BC19:BC24" si="69">IF(OR(B19="", D19=""), "-",
  IF(OR(AZ19="", BB19=""), 0,
    IF(AND(AZ19=B19, BB19=D19), 10,
      IF(AND(OR(AND(B19&gt;D19, AZ19&gt;BB19), AND(B19&lt;D19, AZ19&lt;BB19), AND(B19=D19, AZ19=BB19)), OR(AZ19=B19, BB19=D19)), 7,
        IF(OR(AND(B19&gt;D19, AZ19&gt;BB19), AND(B19&lt;D19, AZ19&lt;BB19), AND(B19=D19, AZ19=BB19)), 5,
          IF(OR(AZ19=B19, BB19=D19), 2, 0)
        )
      )
    )
  )
)</f>
        <v>-</v>
      </c>
      <c r="BD19" s="169"/>
      <c r="BE19" s="13"/>
      <c r="BF19" s="174" t="s">
        <v>17</v>
      </c>
      <c r="BG19" s="13"/>
      <c r="BH19" s="19" t="str">
        <f t="shared" ref="BH19:BH24" si="70">IF(OR(B19="", D19=""), "-",
  IF(OR(BE19="", BG19=""), 0,
    IF(AND(BE19=B19, BG19=D19), 10,
      IF(AND(OR(AND(B19&gt;D19, BE19&gt;BG19), AND(B19&lt;D19, BE19&lt;BG19), AND(B19=D19, BE19=BG19)), OR(BE19=B19, BG19=D19)), 7,
        IF(OR(AND(B19&gt;D19, BE19&gt;BG19), AND(B19&lt;D19, BE19&lt;BG19), AND(B19=D19, BE19=BG19)), 5,
          IF(OR(BE19=B19, BG19=D19), 2, 0)
        )
      )
    )
  )
)</f>
        <v>-</v>
      </c>
      <c r="BI19" s="169"/>
      <c r="BJ19" s="15"/>
      <c r="BK19" s="174" t="s">
        <v>17</v>
      </c>
      <c r="BL19" s="15"/>
      <c r="BM19" s="19" t="str">
        <f t="shared" ref="BM19:BM24" si="71">IF(OR(B19="", D19=""), "-",
  IF(OR(BJ19="", BL19=""), 0,
    IF(AND(BJ19=B19, BL19=D19), 10,
      IF(AND(OR(AND(B19&gt;D19, BJ19&gt;BL19), AND(B19&lt;D19, BJ19&lt;BL19), AND(B19=D19, BJ19=BL19)), OR(BJ19=B19, BL19=D19)), 7,
        IF(OR(AND(B19&gt;D19, BJ19&gt;BL19), AND(B19&lt;D19, BJ19&lt;BL19), AND(B19=D19, BJ19=BL19)), 5,
          IF(OR(BJ19=B19, BL19=D19), 2, 0)
        )
      )
    )
  )
)</f>
        <v>-</v>
      </c>
      <c r="BN19" s="169"/>
      <c r="BO19" s="15"/>
      <c r="BP19" s="174" t="s">
        <v>17</v>
      </c>
      <c r="BQ19" s="15"/>
      <c r="BR19" s="19" t="str">
        <f t="shared" ref="BR19:BR24" si="72">IF(OR(B19="", D19=""), "-",
  IF(OR(BO19="", BQ19=""), 0,
    IF(AND(BO19=B19, BQ19=D19), 10,
      IF(AND(OR(AND(B19&gt;D19, BO19&gt;BQ19), AND(B19&lt;D19, BO19&lt;BQ19), AND(B19=D19, BO19=BQ19)), OR(BO19=B19, BQ19=D19)), 7,
        IF(OR(AND(B19&gt;D19, BO19&gt;BQ19), AND(B19&lt;D19, BO19&lt;BQ19), AND(B19=D19, BO19=BQ19)), 5,
          IF(OR(BO19=B19, BQ19=D19), 2, 0)
        )
      )
    )
  )
)</f>
        <v>-</v>
      </c>
      <c r="BS19" s="169"/>
      <c r="BT19" s="15"/>
      <c r="BU19" s="174" t="s">
        <v>17</v>
      </c>
      <c r="BV19" s="15"/>
      <c r="BW19" s="19" t="str">
        <f t="shared" ref="BW19:BW24" si="73">IF(OR(B19="", D19=""), "-",
  IF(OR(BT19="", BV19=""), 0,
    IF(AND(BT19=B19, BV19=D19), 10,
      IF(AND(OR(AND(B19&gt;D19, BT19&gt;BV19), AND(B19&lt;D19, BT19&lt;BV19), AND(B19=D19, BT19=BV19)), OR(BT19=B19, BV19=D19)), 7,
        IF(OR(AND(B19&gt;D19, BT19&gt;BV19), AND(B19&lt;D19, BT19&lt;BV19), AND(B19=D19, BT19=BV19)), 5,
          IF(OR(BT19=B19, BV19=D19), 2, 0)
        )
      )
    )
  )
)</f>
        <v>-</v>
      </c>
      <c r="BX19" s="166"/>
      <c r="BY19" s="175"/>
      <c r="BZ19" s="16" t="s">
        <v>17</v>
      </c>
      <c r="CA19" s="175"/>
      <c r="CB19" s="17" t="str">
        <f t="shared" ref="CB19:CB24" si="74">IF(OR(B19="", D19=""), "-",
  IF(OR(BY19="", CA19=""), 0,
    IF(AND(BY19=B19, CA19=D19), 10,
      IF(AND(OR(AND(B19&gt;D19, BY19&gt;CA19), AND(B19&lt;D19, BY19&lt;CA19), AND(B19=D19, BY19=CA19)), OR(BY19=B19, CA19=D19)), 7,
        IF(OR(AND(B19&gt;D19, BY19&gt;CA19), AND(B19&lt;D19, BY19&lt;CA19), AND(B19=D19, BY19=CA19)), 5,
          IF(OR(BY19=B19, CA19=D19), 2, 0)
        )
      )
    )
  )
)</f>
        <v>-</v>
      </c>
      <c r="CC19" s="170"/>
      <c r="CD19" s="175"/>
      <c r="CE19" s="16" t="s">
        <v>17</v>
      </c>
      <c r="CF19" s="175"/>
      <c r="CG19" s="17" t="str">
        <f t="shared" ref="CG19:CG24" si="75">IF(OR(B19="", D19=""), "-",
  IF(OR(CD19="", CF19=""), 0,
    IF(AND(CD19=B19, CF19=D19), 10,
      IF(AND(OR(AND(B19&gt;D19, CD19&gt;CF19), AND(B19&lt;D19, CD19&lt;CF19), AND(B19=D19, CD19=CF19)), OR(CD19=B19, CF19=D19)), 7,
        IF(OR(AND(B19&gt;D19, CD19&gt;CF19), AND(B19&lt;D19, CD19&lt;CF19), AND(B19=D19, CD19=CF19)), 5,
          IF(OR(CD19=B19, CF19=D19), 2, 0)
        )
      )
    )
  )
)</f>
        <v>-</v>
      </c>
      <c r="CH19" s="170"/>
      <c r="CI19" s="175"/>
      <c r="CJ19" s="16" t="s">
        <v>17</v>
      </c>
      <c r="CK19" s="175"/>
      <c r="CL19" s="17" t="str">
        <f t="shared" ref="CL19:CL24" si="76">IF(OR(B19="", D19=""), "-",
  IF(OR(CI19="", CK19=""), 0,
    IF(AND(CI19=B19, CK19=D19), 10,
      IF(AND(OR(AND(B19&gt;D19, CI19&gt;CK19), AND(B19&lt;D19, CI19&lt;CK19), AND(B19=D19, CI19=CK19)), OR(CI19=B19, CK19=D19)), 7,
        IF(OR(AND(B19&gt;D19, CI19&gt;CK19), AND(B19&lt;D19, CI19&lt;CK19), AND(B19=D19, CI19=CK19)), 5,
          IF(OR(CI19=B19, CK19=D19), 2, 0)
        )
      )
    )
  )
)</f>
        <v>-</v>
      </c>
      <c r="CM19" s="170"/>
      <c r="CN19" s="175"/>
      <c r="CO19" s="16" t="s">
        <v>17</v>
      </c>
      <c r="CP19" s="175"/>
      <c r="CQ19" s="17" t="str">
        <f t="shared" ref="CQ19:CQ24" si="77">IF(OR(B19="", D19=""), "-",
  IF(OR(CN19="", CP19=""), 0,
    IF(AND(CN19=B19, CP19=D19), 10,
      IF(AND(OR(AND(B19&gt;D19, CN19&gt;CP19), AND(B19&lt;D19, CN19&lt;CP19), AND(B19=D19, CN19=CP19)), OR(CN19=B19, CP19=D19)), 7,
        IF(OR(AND(B19&gt;D19, CN19&gt;CP19), AND(B19&lt;D19, CN19&lt;CP19), AND(B19=D19, CN19=CP19)), 5,
          IF(OR(CN19=B19, CP19=D19), 2, 0)
        )
      )
    )
  )
)</f>
        <v>-</v>
      </c>
      <c r="CR19" s="170"/>
      <c r="CS19" s="175"/>
      <c r="CT19" s="16" t="s">
        <v>17</v>
      </c>
      <c r="CU19" s="175"/>
      <c r="CV19" s="17" t="str">
        <f t="shared" ref="CV19:CV24" si="78">IF(OR(B19="", D19=""), "-",
  IF(OR(CS19="", CU19=""), 0,
    IF(AND(CS19=B19, CU19=D19), 10,
      IF(AND(OR(AND(B19&gt;D19, CS19&gt;CU19), AND(B19&lt;D19, CS19&lt;CU19), AND(B19=D19, CS19=CU19)), OR(CS19=B19, CU19=D19)), 7,
        IF(OR(AND(B19&gt;D19, CS19&gt;CU19), AND(B19&lt;D19, CS19&lt;CU19), AND(B19=D19, CS19=CU19)), 5,
          IF(OR(CS19=B19, CU19=D19), 2, 0)
        )
      )
    )
  )
)</f>
        <v>-</v>
      </c>
      <c r="CW19" s="170"/>
      <c r="CX19" s="175"/>
      <c r="CY19" s="16" t="s">
        <v>17</v>
      </c>
      <c r="CZ19" s="175"/>
      <c r="DA19" s="17" t="str">
        <f t="shared" ref="DA19:DA24" si="79">IF(OR(B19="", D19=""), "-",
  IF(OR(CX19="", CZ19=""), 0,
    IF(AND(CX19=B19, CZ19=D19), 10,
      IF(AND(OR(AND(B19&gt;D19, CX19&gt;CZ19), AND(B19&lt;D19, CX19&lt;CZ19), AND(B19=D19, CX19=CZ19)), OR(CX19=B19, CZ19=D19)), 7,
        IF(OR(AND(B19&gt;D19, CX19&gt;CZ19), AND(B19&lt;D19, CX19&lt;CZ19), AND(B19=D19, CX19=CZ19)), 5,
          IF(OR(CX19=B19, CZ19=D19), 2, 0)
        )
      )
    )
  )
)</f>
        <v>-</v>
      </c>
      <c r="DB19" s="170"/>
      <c r="DC19" s="175"/>
      <c r="DD19" s="16" t="s">
        <v>17</v>
      </c>
      <c r="DE19" s="175"/>
      <c r="DF19" s="17" t="str">
        <f t="shared" ref="DF19:DF24" si="80">IF(OR(B19="", D19=""), "-",
  IF(OR(DC19="", DE19=""), 0,
    IF(AND(DC19=B19, DE19=D19), 10,
      IF(AND(OR(AND(B19&gt;D19, DC19&gt;DE19), AND(B19&lt;D19, DC19&lt;DE19), AND(B19=D19, DC19=DE19)), OR(DC19=B19, DE19=D19)), 7,
        IF(OR(AND(B19&gt;D19, DC19&gt;DE19), AND(B19&lt;D19, DC19&lt;DE19), AND(B19=D19, DC19=DE19)), 5,
          IF(OR(DC19=B19, DE19=D19), 2, 0)
        )
      )
    )
  )
)</f>
        <v>-</v>
      </c>
      <c r="DG19" s="170"/>
      <c r="DH19" s="175"/>
      <c r="DI19" s="16" t="s">
        <v>17</v>
      </c>
      <c r="DJ19" s="175"/>
      <c r="DK19" s="17" t="str">
        <f t="shared" ref="DK19:DK24" si="81">IF(OR(B19="", D19=""), "-",
  IF(OR(DH19="", DJ19=""), 0,
    IF(AND(DH19=B19, DJ19=D19), 10,
      IF(AND(OR(AND(B19&gt;D19, DH19&gt;DJ19), AND(B19&lt;D19, DH19&lt;DJ19), AND(B19=D19, DH19=DJ19)), OR(DH19=B19, DJ19=D19)), 7,
        IF(OR(AND(B19&gt;D19, DH19&gt;DJ19), AND(B19&lt;D19, DH19&lt;DJ19), AND(B19=D19, DH19=DJ19)), 5,
          IF(OR(DH19=B19, DJ19=D19), 2, 0)
        )
      )
    )
  )
)</f>
        <v>-</v>
      </c>
      <c r="DL19" s="170"/>
      <c r="DM19" s="175"/>
      <c r="DN19" s="16" t="s">
        <v>17</v>
      </c>
      <c r="DO19" s="175"/>
      <c r="DP19" s="17" t="str">
        <f t="shared" ref="DP19:DP24" si="82">IF(OR(B19="", D19=""), "-",
  IF(OR(DM19="", DO19=""), 0,
    IF(AND(DM19=B19, DO19=D19), 10,
      IF(AND(OR(AND(B19&gt;D19, DM19&gt;DO19), AND(B19&lt;D19, DM19&lt;DO19), AND(B19=D19, DM19=DO19)), OR(DM19=B19, DO19=D19)), 7,
        IF(OR(AND(B19&gt;D19, DM19&gt;DO19), AND(B19&lt;D19, DM19&lt;DO19), AND(B19=D19, DM19=DO19)), 5,
          IF(OR(DM19=B19, DO19=D19), 2, 0)
        )
      )
    )
  )
)</f>
        <v>-</v>
      </c>
      <c r="DQ19" s="170"/>
      <c r="DR19" s="175"/>
      <c r="DS19" s="16" t="s">
        <v>17</v>
      </c>
      <c r="DT19" s="175"/>
      <c r="DU19" s="17" t="str">
        <f t="shared" ref="DU19:DU24" si="83">IF(OR(B19="", D19=""), "-",
  IF(OR(DR19="", DT19=""), 0,
    IF(AND(DR19=B19, DT19=D19), 10,
      IF(AND(OR(AND(B19&gt;D19, DR19&gt;DT19), AND(B19&lt;D19, DR19&lt;DT19), AND(B19=D19, DR19=DT19)), OR(DR19=B19, DT19=D19)), 7,
        IF(OR(AND(B19&gt;D19, DR19&gt;DT19), AND(B19&lt;D19, DR19&lt;DT19), AND(B19=D19, DR19=DT19)), 5,
          IF(OR(DR19=B19, DT19=D19), 2, 0)
        )
      )
    )
  )
)</f>
        <v>-</v>
      </c>
      <c r="DV19" s="170"/>
      <c r="DW19" s="175"/>
      <c r="DX19" s="16" t="s">
        <v>17</v>
      </c>
      <c r="DY19" s="175"/>
      <c r="DZ19" s="17" t="str">
        <f t="shared" ref="DZ19:DZ24" si="84">IF(OR(B19="", D19=""), "-",
  IF(OR(DW19="", DY19=""), 0,
    IF(AND(DW19=B19, DY19=D19), 10,
      IF(AND(OR(AND(B19&gt;D19, DW19&gt;DY19), AND(B19&lt;D19, DW19&lt;DY19), AND(B19=D19, DW19=DY19)), OR(DW19=B19, DY19=D19)), 7,
        IF(OR(AND(B19&gt;D19, DW19&gt;DY19), AND(B19&lt;D19, DW19&lt;DY19), AND(B19=D19, DW19=DY19)), 5,
          IF(OR(DW19=B19, DY19=D19), 2, 0)
        )
      )
    )
  )
)</f>
        <v>-</v>
      </c>
      <c r="EA19" s="166"/>
      <c r="EB19" s="175"/>
      <c r="EC19" s="16" t="s">
        <v>17</v>
      </c>
      <c r="ED19" s="175"/>
      <c r="EE19" s="17" t="str">
        <f t="shared" ref="EE19:EE24" si="85">IF(OR(B19="", D19=""), "-",
  IF(OR(EB19="", ED19=""), 0,
    IF(AND(EB19=B19, ED19=D19), 10,
      IF(AND(OR(AND(B19&gt;D19, EB19&gt;ED19), AND(B19&lt;D19, EB19&lt;ED19), AND(B19=D19, EB19=ED19)), OR(EB19=B19, ED19=D19)), 7,
        IF(OR(AND(B19&gt;D19, EB19&gt;ED19), AND(B19&lt;D19, EB19&lt;ED19), AND(B19=D19, EB19=ED19)), 5,
          IF(OR(EB19=B19, ED19=D19), 2, 0)
        )
      )
    )
  )
)</f>
        <v>-</v>
      </c>
      <c r="EF19" s="166"/>
      <c r="EG19" s="175"/>
      <c r="EH19" s="16" t="s">
        <v>17</v>
      </c>
      <c r="EI19" s="175"/>
      <c r="EJ19" s="17" t="str">
        <f t="shared" ref="EJ19:EJ24" si="86">IF(OR(B19="", D19=""), "-",
  IF(OR(EG19="", EI19=""), 0,
    IF(AND(EG19=B19, EI19=D19), 10,
      IF(AND(OR(AND(B19&gt;D19, EG19&gt;EI19), AND(B19&lt;D19, EG19&lt;EI19), AND(B19=D19, EG19=EI19)), OR(EG19=B19, EI19=D19)), 7,
        IF(OR(AND(B19&gt;D19, EG19&gt;EI19), AND(B19&lt;D19, EG19&lt;EI19), AND(B19=D19, EG19=EI19)), 5,
          IF(OR(EG19=B19, EI19=D19), 2, 0)
        )
      )
    )
  )
)</f>
        <v>-</v>
      </c>
      <c r="EK19" s="166"/>
      <c r="EL19" s="175"/>
      <c r="EM19" s="16" t="s">
        <v>17</v>
      </c>
      <c r="EN19" s="175"/>
      <c r="EO19" s="17" t="str">
        <f t="shared" ref="EO19:EO24" si="87">IF(OR(B19="", D19=""), "-",
  IF(OR(EL19="", EN19=""), 0,
    IF(AND(EL19=B19, EN19=D19), 10,
      IF(AND(OR(AND(B19&gt;D19, EL19&gt;EN19), AND(B19&lt;D19, EL19&lt;EN19), AND(B19=D19, EL19=EN19)), OR(EL19=B19, EN19=D19)), 7,
        IF(OR(AND(B19&gt;D19, EL19&gt;EN19), AND(B19&lt;D19, EL19&lt;EN19), AND(B19=D19, EL19=EN19)), 5,
          IF(OR(EL19=B19, EN19=D19), 2, 0)
        )
      )
    )
  )
)</f>
        <v>-</v>
      </c>
      <c r="EP19" s="166"/>
      <c r="EQ19" s="175"/>
      <c r="ER19" s="16" t="s">
        <v>17</v>
      </c>
      <c r="ES19" s="175"/>
      <c r="ET19" s="17" t="str">
        <f t="shared" ref="ET19:ET24" si="88">IF(OR(B19="", D19=""), "-",
  IF(OR(EQ19="", ES19=""), 0,
    IF(AND(EQ19=B19, ES19=D19), 10,
      IF(AND(OR(AND(B19&gt;D19, EQ19&gt;ES19), AND(B19&lt;D19, EQ19&lt;ES19), AND(B19=D19, EQ19=ES19)), OR(EQ19=B19, ES19=D19)), 7,
        IF(OR(AND(B19&gt;D19, EQ19&gt;ES19), AND(B19&lt;D19, EQ19&lt;ES19), AND(B19=D19, EQ19=ES19)), 5,
          IF(OR(EQ19=B19, ES19=D19), 2, 0)
        )
      )
    )
  )
)</f>
        <v>-</v>
      </c>
      <c r="EU19" s="166"/>
      <c r="EV19" s="15"/>
      <c r="EW19" s="174" t="s">
        <v>17</v>
      </c>
      <c r="EX19" s="15"/>
      <c r="EY19" s="19" t="str">
        <f t="shared" ref="EY19:EY24" si="89">IF(OR(B19="", D19=""), "-",
  IF(OR(EV19="", EX19=""), 0,
    IF(AND(EV19=B19, EX19=D19), 10,
      IF(AND(OR(AND(B19&gt;D19, EV19&gt;EX19), AND(B19&lt;D19, EV19&lt;EX19), AND(B19=D19, EV19=EX19)), OR(EV19=B19, EX19=D19)), 7,
        IF(OR(AND(B19&gt;D19, EV19&gt;EX19), AND(B19&lt;D19, EV19&lt;EX19), AND(B19=D19, EV19=EX19)), 5,
          IF(OR(EV19=B19, EX19=D19), 2, 0)
        )
      )
    )
  )
)</f>
        <v>-</v>
      </c>
      <c r="EZ19" s="166"/>
      <c r="FA19" s="8"/>
    </row>
    <row r="20" spans="1:157" ht="17.399999999999999">
      <c r="A20" s="59" t="s">
        <v>84</v>
      </c>
      <c r="B20" s="60"/>
      <c r="C20" s="61" t="s">
        <v>17</v>
      </c>
      <c r="D20" s="60"/>
      <c r="E20" s="59" t="s">
        <v>85</v>
      </c>
      <c r="F20" s="166"/>
      <c r="G20" s="193"/>
      <c r="H20" s="194" t="s">
        <v>17</v>
      </c>
      <c r="I20" s="193"/>
      <c r="J20" s="62" t="str">
        <f t="shared" si="60"/>
        <v>-</v>
      </c>
      <c r="K20" s="173"/>
      <c r="L20" s="193"/>
      <c r="M20" s="194" t="s">
        <v>17</v>
      </c>
      <c r="N20" s="193"/>
      <c r="O20" s="62" t="str">
        <f t="shared" si="61"/>
        <v>-</v>
      </c>
      <c r="P20" s="173"/>
      <c r="Q20" s="193"/>
      <c r="R20" s="194" t="s">
        <v>17</v>
      </c>
      <c r="S20" s="193"/>
      <c r="T20" s="62" t="str">
        <f t="shared" si="62"/>
        <v>-</v>
      </c>
      <c r="U20" s="173"/>
      <c r="V20" s="193"/>
      <c r="W20" s="194" t="s">
        <v>17</v>
      </c>
      <c r="X20" s="193"/>
      <c r="Y20" s="62" t="str">
        <f t="shared" si="63"/>
        <v>-</v>
      </c>
      <c r="Z20" s="173"/>
      <c r="AA20" s="193"/>
      <c r="AB20" s="194" t="s">
        <v>17</v>
      </c>
      <c r="AC20" s="193"/>
      <c r="AD20" s="62" t="str">
        <f t="shared" si="64"/>
        <v>-</v>
      </c>
      <c r="AE20" s="173"/>
      <c r="AF20" s="193"/>
      <c r="AG20" s="194" t="s">
        <v>17</v>
      </c>
      <c r="AH20" s="193"/>
      <c r="AI20" s="62" t="str">
        <f t="shared" si="65"/>
        <v>-</v>
      </c>
      <c r="AJ20" s="173"/>
      <c r="AK20" s="193"/>
      <c r="AL20" s="194" t="s">
        <v>17</v>
      </c>
      <c r="AM20" s="193"/>
      <c r="AN20" s="62" t="str">
        <f t="shared" si="66"/>
        <v>-</v>
      </c>
      <c r="AO20" s="173"/>
      <c r="AP20" s="193"/>
      <c r="AQ20" s="194" t="s">
        <v>17</v>
      </c>
      <c r="AR20" s="193"/>
      <c r="AS20" s="62" t="str">
        <f t="shared" si="67"/>
        <v>-</v>
      </c>
      <c r="AT20" s="173"/>
      <c r="AU20" s="193"/>
      <c r="AV20" s="194" t="s">
        <v>17</v>
      </c>
      <c r="AW20" s="193"/>
      <c r="AX20" s="62" t="str">
        <f t="shared" si="68"/>
        <v>-</v>
      </c>
      <c r="AY20" s="168"/>
      <c r="AZ20" s="193"/>
      <c r="BA20" s="194" t="s">
        <v>17</v>
      </c>
      <c r="BB20" s="193"/>
      <c r="BC20" s="62" t="str">
        <f t="shared" si="69"/>
        <v>-</v>
      </c>
      <c r="BD20" s="169"/>
      <c r="BE20" s="60"/>
      <c r="BF20" s="195" t="s">
        <v>17</v>
      </c>
      <c r="BG20" s="60"/>
      <c r="BH20" s="63" t="str">
        <f t="shared" si="70"/>
        <v>-</v>
      </c>
      <c r="BI20" s="169"/>
      <c r="BJ20" s="193"/>
      <c r="BK20" s="195" t="s">
        <v>17</v>
      </c>
      <c r="BL20" s="193"/>
      <c r="BM20" s="63" t="str">
        <f t="shared" si="71"/>
        <v>-</v>
      </c>
      <c r="BN20" s="169"/>
      <c r="BO20" s="193"/>
      <c r="BP20" s="195" t="s">
        <v>17</v>
      </c>
      <c r="BQ20" s="193"/>
      <c r="BR20" s="63" t="str">
        <f t="shared" si="72"/>
        <v>-</v>
      </c>
      <c r="BS20" s="169"/>
      <c r="BT20" s="193"/>
      <c r="BU20" s="195" t="s">
        <v>17</v>
      </c>
      <c r="BV20" s="193"/>
      <c r="BW20" s="63" t="str">
        <f t="shared" si="73"/>
        <v>-</v>
      </c>
      <c r="BX20" s="166"/>
      <c r="BY20" s="196"/>
      <c r="BZ20" s="194" t="s">
        <v>17</v>
      </c>
      <c r="CA20" s="196"/>
      <c r="CB20" s="62" t="str">
        <f t="shared" si="74"/>
        <v>-</v>
      </c>
      <c r="CC20" s="170"/>
      <c r="CD20" s="196"/>
      <c r="CE20" s="194" t="s">
        <v>17</v>
      </c>
      <c r="CF20" s="196"/>
      <c r="CG20" s="62" t="str">
        <f t="shared" si="75"/>
        <v>-</v>
      </c>
      <c r="CH20" s="170"/>
      <c r="CI20" s="196"/>
      <c r="CJ20" s="194" t="s">
        <v>17</v>
      </c>
      <c r="CK20" s="196"/>
      <c r="CL20" s="62" t="str">
        <f t="shared" si="76"/>
        <v>-</v>
      </c>
      <c r="CM20" s="170"/>
      <c r="CN20" s="196"/>
      <c r="CO20" s="194" t="s">
        <v>17</v>
      </c>
      <c r="CP20" s="196"/>
      <c r="CQ20" s="62" t="str">
        <f t="shared" si="77"/>
        <v>-</v>
      </c>
      <c r="CR20" s="170"/>
      <c r="CS20" s="196"/>
      <c r="CT20" s="194" t="s">
        <v>17</v>
      </c>
      <c r="CU20" s="196"/>
      <c r="CV20" s="62" t="str">
        <f t="shared" si="78"/>
        <v>-</v>
      </c>
      <c r="CW20" s="170"/>
      <c r="CX20" s="196"/>
      <c r="CY20" s="194" t="s">
        <v>17</v>
      </c>
      <c r="CZ20" s="196"/>
      <c r="DA20" s="62" t="str">
        <f t="shared" si="79"/>
        <v>-</v>
      </c>
      <c r="DB20" s="170"/>
      <c r="DC20" s="196"/>
      <c r="DD20" s="194" t="s">
        <v>17</v>
      </c>
      <c r="DE20" s="196"/>
      <c r="DF20" s="62" t="str">
        <f t="shared" si="80"/>
        <v>-</v>
      </c>
      <c r="DG20" s="170"/>
      <c r="DH20" s="196"/>
      <c r="DI20" s="194" t="s">
        <v>17</v>
      </c>
      <c r="DJ20" s="196"/>
      <c r="DK20" s="62" t="str">
        <f t="shared" si="81"/>
        <v>-</v>
      </c>
      <c r="DL20" s="170"/>
      <c r="DM20" s="196"/>
      <c r="DN20" s="194" t="s">
        <v>17</v>
      </c>
      <c r="DO20" s="196"/>
      <c r="DP20" s="62" t="str">
        <f t="shared" si="82"/>
        <v>-</v>
      </c>
      <c r="DQ20" s="170"/>
      <c r="DR20" s="196"/>
      <c r="DS20" s="194" t="s">
        <v>17</v>
      </c>
      <c r="DT20" s="196"/>
      <c r="DU20" s="62" t="str">
        <f t="shared" si="83"/>
        <v>-</v>
      </c>
      <c r="DV20" s="170"/>
      <c r="DW20" s="196"/>
      <c r="DX20" s="194" t="s">
        <v>17</v>
      </c>
      <c r="DY20" s="196"/>
      <c r="DZ20" s="62" t="str">
        <f t="shared" si="84"/>
        <v>-</v>
      </c>
      <c r="EA20" s="166"/>
      <c r="EB20" s="196"/>
      <c r="EC20" s="194" t="s">
        <v>17</v>
      </c>
      <c r="ED20" s="196"/>
      <c r="EE20" s="62" t="str">
        <f t="shared" si="85"/>
        <v>-</v>
      </c>
      <c r="EF20" s="166"/>
      <c r="EG20" s="196"/>
      <c r="EH20" s="194" t="s">
        <v>17</v>
      </c>
      <c r="EI20" s="196"/>
      <c r="EJ20" s="62" t="str">
        <f t="shared" si="86"/>
        <v>-</v>
      </c>
      <c r="EK20" s="166"/>
      <c r="EL20" s="196"/>
      <c r="EM20" s="194" t="s">
        <v>17</v>
      </c>
      <c r="EN20" s="196"/>
      <c r="EO20" s="62" t="str">
        <f t="shared" si="87"/>
        <v>-</v>
      </c>
      <c r="EP20" s="166"/>
      <c r="EQ20" s="196"/>
      <c r="ER20" s="194" t="s">
        <v>17</v>
      </c>
      <c r="ES20" s="196"/>
      <c r="ET20" s="62" t="str">
        <f t="shared" si="88"/>
        <v>-</v>
      </c>
      <c r="EU20" s="166"/>
      <c r="EV20" s="193"/>
      <c r="EW20" s="195" t="s">
        <v>17</v>
      </c>
      <c r="EX20" s="193"/>
      <c r="EY20" s="63" t="str">
        <f t="shared" si="89"/>
        <v>-</v>
      </c>
      <c r="EZ20" s="166"/>
      <c r="FA20" s="8"/>
    </row>
    <row r="21" spans="1:157" ht="17.399999999999999">
      <c r="A21" s="12" t="s">
        <v>85</v>
      </c>
      <c r="B21" s="13"/>
      <c r="C21" s="14" t="s">
        <v>17</v>
      </c>
      <c r="D21" s="13"/>
      <c r="E21" s="12" t="s">
        <v>83</v>
      </c>
      <c r="F21" s="166"/>
      <c r="G21" s="15"/>
      <c r="H21" s="16" t="s">
        <v>17</v>
      </c>
      <c r="I21" s="15"/>
      <c r="J21" s="17" t="str">
        <f t="shared" si="60"/>
        <v>-</v>
      </c>
      <c r="K21" s="173"/>
      <c r="L21" s="15"/>
      <c r="M21" s="16" t="s">
        <v>17</v>
      </c>
      <c r="N21" s="15"/>
      <c r="O21" s="17" t="str">
        <f t="shared" si="61"/>
        <v>-</v>
      </c>
      <c r="P21" s="173"/>
      <c r="Q21" s="15"/>
      <c r="R21" s="16" t="s">
        <v>17</v>
      </c>
      <c r="S21" s="15"/>
      <c r="T21" s="17" t="str">
        <f t="shared" si="62"/>
        <v>-</v>
      </c>
      <c r="U21" s="173"/>
      <c r="V21" s="15"/>
      <c r="W21" s="16" t="s">
        <v>17</v>
      </c>
      <c r="X21" s="15"/>
      <c r="Y21" s="17" t="str">
        <f t="shared" si="63"/>
        <v>-</v>
      </c>
      <c r="Z21" s="173"/>
      <c r="AA21" s="15"/>
      <c r="AB21" s="16" t="s">
        <v>17</v>
      </c>
      <c r="AC21" s="15"/>
      <c r="AD21" s="17" t="str">
        <f t="shared" si="64"/>
        <v>-</v>
      </c>
      <c r="AE21" s="173"/>
      <c r="AF21" s="15"/>
      <c r="AG21" s="16" t="s">
        <v>17</v>
      </c>
      <c r="AH21" s="15"/>
      <c r="AI21" s="17" t="str">
        <f t="shared" si="65"/>
        <v>-</v>
      </c>
      <c r="AJ21" s="173"/>
      <c r="AK21" s="15"/>
      <c r="AL21" s="16" t="s">
        <v>17</v>
      </c>
      <c r="AM21" s="15"/>
      <c r="AN21" s="17" t="str">
        <f t="shared" si="66"/>
        <v>-</v>
      </c>
      <c r="AO21" s="173"/>
      <c r="AP21" s="15"/>
      <c r="AQ21" s="16" t="s">
        <v>17</v>
      </c>
      <c r="AR21" s="15"/>
      <c r="AS21" s="17" t="str">
        <f t="shared" si="67"/>
        <v>-</v>
      </c>
      <c r="AT21" s="173"/>
      <c r="AU21" s="15"/>
      <c r="AV21" s="16" t="s">
        <v>17</v>
      </c>
      <c r="AW21" s="15"/>
      <c r="AX21" s="17" t="str">
        <f t="shared" si="68"/>
        <v>-</v>
      </c>
      <c r="AY21" s="168"/>
      <c r="AZ21" s="15"/>
      <c r="BA21" s="16" t="s">
        <v>17</v>
      </c>
      <c r="BB21" s="15"/>
      <c r="BC21" s="17" t="str">
        <f t="shared" si="69"/>
        <v>-</v>
      </c>
      <c r="BD21" s="169"/>
      <c r="BE21" s="13"/>
      <c r="BF21" s="174" t="s">
        <v>17</v>
      </c>
      <c r="BG21" s="13"/>
      <c r="BH21" s="19" t="str">
        <f t="shared" si="70"/>
        <v>-</v>
      </c>
      <c r="BI21" s="169"/>
      <c r="BJ21" s="15"/>
      <c r="BK21" s="174" t="s">
        <v>17</v>
      </c>
      <c r="BL21" s="15"/>
      <c r="BM21" s="19" t="str">
        <f t="shared" si="71"/>
        <v>-</v>
      </c>
      <c r="BN21" s="169"/>
      <c r="BO21" s="15"/>
      <c r="BP21" s="174" t="s">
        <v>17</v>
      </c>
      <c r="BQ21" s="15"/>
      <c r="BR21" s="19" t="str">
        <f t="shared" si="72"/>
        <v>-</v>
      </c>
      <c r="BS21" s="169"/>
      <c r="BT21" s="15"/>
      <c r="BU21" s="174" t="s">
        <v>17</v>
      </c>
      <c r="BV21" s="15"/>
      <c r="BW21" s="19" t="str">
        <f t="shared" si="73"/>
        <v>-</v>
      </c>
      <c r="BX21" s="166"/>
      <c r="BY21" s="175"/>
      <c r="BZ21" s="16" t="s">
        <v>17</v>
      </c>
      <c r="CA21" s="175"/>
      <c r="CB21" s="17" t="str">
        <f t="shared" si="74"/>
        <v>-</v>
      </c>
      <c r="CC21" s="170"/>
      <c r="CD21" s="175"/>
      <c r="CE21" s="16" t="s">
        <v>17</v>
      </c>
      <c r="CF21" s="175"/>
      <c r="CG21" s="17" t="str">
        <f t="shared" si="75"/>
        <v>-</v>
      </c>
      <c r="CH21" s="170"/>
      <c r="CI21" s="175"/>
      <c r="CJ21" s="16" t="s">
        <v>17</v>
      </c>
      <c r="CK21" s="175"/>
      <c r="CL21" s="17" t="str">
        <f t="shared" si="76"/>
        <v>-</v>
      </c>
      <c r="CM21" s="170"/>
      <c r="CN21" s="175"/>
      <c r="CO21" s="16" t="s">
        <v>17</v>
      </c>
      <c r="CP21" s="175"/>
      <c r="CQ21" s="17" t="str">
        <f t="shared" si="77"/>
        <v>-</v>
      </c>
      <c r="CR21" s="170"/>
      <c r="CS21" s="175"/>
      <c r="CT21" s="16" t="s">
        <v>17</v>
      </c>
      <c r="CU21" s="175"/>
      <c r="CV21" s="17" t="str">
        <f t="shared" si="78"/>
        <v>-</v>
      </c>
      <c r="CW21" s="170"/>
      <c r="CX21" s="175"/>
      <c r="CY21" s="16" t="s">
        <v>17</v>
      </c>
      <c r="CZ21" s="175"/>
      <c r="DA21" s="17" t="str">
        <f t="shared" si="79"/>
        <v>-</v>
      </c>
      <c r="DB21" s="170"/>
      <c r="DC21" s="175"/>
      <c r="DD21" s="16" t="s">
        <v>17</v>
      </c>
      <c r="DE21" s="175"/>
      <c r="DF21" s="17" t="str">
        <f t="shared" si="80"/>
        <v>-</v>
      </c>
      <c r="DG21" s="170"/>
      <c r="DH21" s="175"/>
      <c r="DI21" s="16" t="s">
        <v>17</v>
      </c>
      <c r="DJ21" s="175"/>
      <c r="DK21" s="17" t="str">
        <f t="shared" si="81"/>
        <v>-</v>
      </c>
      <c r="DL21" s="170"/>
      <c r="DM21" s="175"/>
      <c r="DN21" s="16" t="s">
        <v>17</v>
      </c>
      <c r="DO21" s="175"/>
      <c r="DP21" s="17" t="str">
        <f t="shared" si="82"/>
        <v>-</v>
      </c>
      <c r="DQ21" s="170"/>
      <c r="DR21" s="175"/>
      <c r="DS21" s="16" t="s">
        <v>17</v>
      </c>
      <c r="DT21" s="175"/>
      <c r="DU21" s="17" t="str">
        <f t="shared" si="83"/>
        <v>-</v>
      </c>
      <c r="DV21" s="170"/>
      <c r="DW21" s="175"/>
      <c r="DX21" s="16" t="s">
        <v>17</v>
      </c>
      <c r="DY21" s="175"/>
      <c r="DZ21" s="17" t="str">
        <f t="shared" si="84"/>
        <v>-</v>
      </c>
      <c r="EA21" s="166"/>
      <c r="EB21" s="175"/>
      <c r="EC21" s="16" t="s">
        <v>17</v>
      </c>
      <c r="ED21" s="175"/>
      <c r="EE21" s="17" t="str">
        <f t="shared" si="85"/>
        <v>-</v>
      </c>
      <c r="EF21" s="166"/>
      <c r="EG21" s="175"/>
      <c r="EH21" s="16" t="s">
        <v>17</v>
      </c>
      <c r="EI21" s="175"/>
      <c r="EJ21" s="17" t="str">
        <f t="shared" si="86"/>
        <v>-</v>
      </c>
      <c r="EK21" s="166"/>
      <c r="EL21" s="175"/>
      <c r="EM21" s="16" t="s">
        <v>17</v>
      </c>
      <c r="EN21" s="175"/>
      <c r="EO21" s="17" t="str">
        <f t="shared" si="87"/>
        <v>-</v>
      </c>
      <c r="EP21" s="166"/>
      <c r="EQ21" s="175"/>
      <c r="ER21" s="16" t="s">
        <v>17</v>
      </c>
      <c r="ES21" s="175"/>
      <c r="ET21" s="17" t="str">
        <f t="shared" si="88"/>
        <v>-</v>
      </c>
      <c r="EU21" s="166"/>
      <c r="EV21" s="15"/>
      <c r="EW21" s="174" t="s">
        <v>17</v>
      </c>
      <c r="EX21" s="15"/>
      <c r="EY21" s="19" t="str">
        <f t="shared" si="89"/>
        <v>-</v>
      </c>
      <c r="EZ21" s="166"/>
      <c r="FA21" s="8"/>
    </row>
    <row r="22" spans="1:157" ht="17.399999999999999">
      <c r="A22" s="59" t="s">
        <v>82</v>
      </c>
      <c r="B22" s="60"/>
      <c r="C22" s="61" t="s">
        <v>17</v>
      </c>
      <c r="D22" s="60"/>
      <c r="E22" s="59" t="s">
        <v>84</v>
      </c>
      <c r="F22" s="166"/>
      <c r="G22" s="197"/>
      <c r="H22" s="194" t="s">
        <v>17</v>
      </c>
      <c r="I22" s="197"/>
      <c r="J22" s="62" t="str">
        <f t="shared" si="60"/>
        <v>-</v>
      </c>
      <c r="K22" s="178"/>
      <c r="L22" s="197"/>
      <c r="M22" s="194" t="s">
        <v>17</v>
      </c>
      <c r="N22" s="197"/>
      <c r="O22" s="62" t="str">
        <f t="shared" si="61"/>
        <v>-</v>
      </c>
      <c r="P22" s="178"/>
      <c r="Q22" s="197"/>
      <c r="R22" s="194" t="s">
        <v>17</v>
      </c>
      <c r="S22" s="197"/>
      <c r="T22" s="62" t="str">
        <f t="shared" si="62"/>
        <v>-</v>
      </c>
      <c r="U22" s="178"/>
      <c r="V22" s="197"/>
      <c r="W22" s="194" t="s">
        <v>17</v>
      </c>
      <c r="X22" s="197"/>
      <c r="Y22" s="62" t="str">
        <f t="shared" si="63"/>
        <v>-</v>
      </c>
      <c r="Z22" s="178"/>
      <c r="AA22" s="197"/>
      <c r="AB22" s="194" t="s">
        <v>17</v>
      </c>
      <c r="AC22" s="197"/>
      <c r="AD22" s="62" t="str">
        <f t="shared" si="64"/>
        <v>-</v>
      </c>
      <c r="AE22" s="173"/>
      <c r="AF22" s="197"/>
      <c r="AG22" s="194" t="s">
        <v>17</v>
      </c>
      <c r="AH22" s="197"/>
      <c r="AI22" s="62" t="str">
        <f t="shared" si="65"/>
        <v>-</v>
      </c>
      <c r="AJ22" s="178"/>
      <c r="AK22" s="197"/>
      <c r="AL22" s="194" t="s">
        <v>17</v>
      </c>
      <c r="AM22" s="197"/>
      <c r="AN22" s="62" t="str">
        <f t="shared" si="66"/>
        <v>-</v>
      </c>
      <c r="AO22" s="178"/>
      <c r="AP22" s="197"/>
      <c r="AQ22" s="194" t="s">
        <v>17</v>
      </c>
      <c r="AR22" s="197"/>
      <c r="AS22" s="62" t="str">
        <f t="shared" si="67"/>
        <v>-</v>
      </c>
      <c r="AT22" s="173"/>
      <c r="AU22" s="197"/>
      <c r="AV22" s="194" t="s">
        <v>17</v>
      </c>
      <c r="AW22" s="197"/>
      <c r="AX22" s="62" t="str">
        <f t="shared" si="68"/>
        <v>-</v>
      </c>
      <c r="AY22" s="168"/>
      <c r="AZ22" s="197"/>
      <c r="BA22" s="194" t="s">
        <v>17</v>
      </c>
      <c r="BB22" s="197"/>
      <c r="BC22" s="62" t="str">
        <f t="shared" si="69"/>
        <v>-</v>
      </c>
      <c r="BD22" s="169"/>
      <c r="BE22" s="198"/>
      <c r="BF22" s="195" t="s">
        <v>17</v>
      </c>
      <c r="BG22" s="198"/>
      <c r="BH22" s="63" t="str">
        <f t="shared" si="70"/>
        <v>-</v>
      </c>
      <c r="BI22" s="169"/>
      <c r="BJ22" s="197"/>
      <c r="BK22" s="195" t="s">
        <v>17</v>
      </c>
      <c r="BL22" s="197"/>
      <c r="BM22" s="63" t="str">
        <f t="shared" si="71"/>
        <v>-</v>
      </c>
      <c r="BN22" s="169"/>
      <c r="BO22" s="197"/>
      <c r="BP22" s="195" t="s">
        <v>17</v>
      </c>
      <c r="BQ22" s="197"/>
      <c r="BR22" s="63" t="str">
        <f t="shared" si="72"/>
        <v>-</v>
      </c>
      <c r="BS22" s="169"/>
      <c r="BT22" s="197"/>
      <c r="BU22" s="195" t="s">
        <v>17</v>
      </c>
      <c r="BV22" s="197"/>
      <c r="BW22" s="63" t="str">
        <f t="shared" si="73"/>
        <v>-</v>
      </c>
      <c r="BX22" s="166"/>
      <c r="BY22" s="196"/>
      <c r="BZ22" s="194" t="s">
        <v>17</v>
      </c>
      <c r="CA22" s="196"/>
      <c r="CB22" s="62" t="str">
        <f t="shared" si="74"/>
        <v>-</v>
      </c>
      <c r="CC22" s="170"/>
      <c r="CD22" s="196"/>
      <c r="CE22" s="194" t="s">
        <v>17</v>
      </c>
      <c r="CF22" s="196"/>
      <c r="CG22" s="62" t="str">
        <f t="shared" si="75"/>
        <v>-</v>
      </c>
      <c r="CH22" s="170"/>
      <c r="CI22" s="196"/>
      <c r="CJ22" s="194" t="s">
        <v>17</v>
      </c>
      <c r="CK22" s="196"/>
      <c r="CL22" s="62" t="str">
        <f t="shared" si="76"/>
        <v>-</v>
      </c>
      <c r="CM22" s="170"/>
      <c r="CN22" s="196"/>
      <c r="CO22" s="194" t="s">
        <v>17</v>
      </c>
      <c r="CP22" s="196"/>
      <c r="CQ22" s="62" t="str">
        <f t="shared" si="77"/>
        <v>-</v>
      </c>
      <c r="CR22" s="170"/>
      <c r="CS22" s="196"/>
      <c r="CT22" s="194" t="s">
        <v>17</v>
      </c>
      <c r="CU22" s="196"/>
      <c r="CV22" s="62" t="str">
        <f t="shared" si="78"/>
        <v>-</v>
      </c>
      <c r="CW22" s="170"/>
      <c r="CX22" s="196"/>
      <c r="CY22" s="194" t="s">
        <v>17</v>
      </c>
      <c r="CZ22" s="196"/>
      <c r="DA22" s="62" t="str">
        <f t="shared" si="79"/>
        <v>-</v>
      </c>
      <c r="DB22" s="170"/>
      <c r="DC22" s="196"/>
      <c r="DD22" s="194" t="s">
        <v>17</v>
      </c>
      <c r="DE22" s="196"/>
      <c r="DF22" s="62" t="str">
        <f t="shared" si="80"/>
        <v>-</v>
      </c>
      <c r="DG22" s="170"/>
      <c r="DH22" s="196"/>
      <c r="DI22" s="194" t="s">
        <v>17</v>
      </c>
      <c r="DJ22" s="196"/>
      <c r="DK22" s="62" t="str">
        <f t="shared" si="81"/>
        <v>-</v>
      </c>
      <c r="DL22" s="170"/>
      <c r="DM22" s="196"/>
      <c r="DN22" s="194" t="s">
        <v>17</v>
      </c>
      <c r="DO22" s="196"/>
      <c r="DP22" s="62" t="str">
        <f t="shared" si="82"/>
        <v>-</v>
      </c>
      <c r="DQ22" s="170"/>
      <c r="DR22" s="196"/>
      <c r="DS22" s="194" t="s">
        <v>17</v>
      </c>
      <c r="DT22" s="196"/>
      <c r="DU22" s="62" t="str">
        <f t="shared" si="83"/>
        <v>-</v>
      </c>
      <c r="DV22" s="170"/>
      <c r="DW22" s="196"/>
      <c r="DX22" s="194" t="s">
        <v>17</v>
      </c>
      <c r="DY22" s="196"/>
      <c r="DZ22" s="62" t="str">
        <f t="shared" si="84"/>
        <v>-</v>
      </c>
      <c r="EA22" s="166"/>
      <c r="EB22" s="196"/>
      <c r="EC22" s="194" t="s">
        <v>17</v>
      </c>
      <c r="ED22" s="196"/>
      <c r="EE22" s="62" t="str">
        <f t="shared" si="85"/>
        <v>-</v>
      </c>
      <c r="EF22" s="166"/>
      <c r="EG22" s="196"/>
      <c r="EH22" s="194" t="s">
        <v>17</v>
      </c>
      <c r="EI22" s="196"/>
      <c r="EJ22" s="62" t="str">
        <f t="shared" si="86"/>
        <v>-</v>
      </c>
      <c r="EK22" s="166"/>
      <c r="EL22" s="196"/>
      <c r="EM22" s="194" t="s">
        <v>17</v>
      </c>
      <c r="EN22" s="196"/>
      <c r="EO22" s="62" t="str">
        <f t="shared" si="87"/>
        <v>-</v>
      </c>
      <c r="EP22" s="166"/>
      <c r="EQ22" s="196"/>
      <c r="ER22" s="194" t="s">
        <v>17</v>
      </c>
      <c r="ES22" s="196"/>
      <c r="ET22" s="62" t="str">
        <f t="shared" si="88"/>
        <v>-</v>
      </c>
      <c r="EU22" s="166"/>
      <c r="EV22" s="197"/>
      <c r="EW22" s="195" t="s">
        <v>17</v>
      </c>
      <c r="EX22" s="197"/>
      <c r="EY22" s="63" t="str">
        <f t="shared" si="89"/>
        <v>-</v>
      </c>
      <c r="EZ22" s="166"/>
      <c r="FA22" s="8"/>
    </row>
    <row r="23" spans="1:157" ht="17.399999999999999">
      <c r="A23" s="12" t="s">
        <v>83</v>
      </c>
      <c r="B23" s="13"/>
      <c r="C23" s="14" t="s">
        <v>17</v>
      </c>
      <c r="D23" s="13"/>
      <c r="E23" s="12" t="s">
        <v>84</v>
      </c>
      <c r="F23" s="166"/>
      <c r="G23" s="29"/>
      <c r="H23" s="16" t="s">
        <v>17</v>
      </c>
      <c r="I23" s="29"/>
      <c r="J23" s="17" t="str">
        <f t="shared" si="60"/>
        <v>-</v>
      </c>
      <c r="K23" s="178"/>
      <c r="L23" s="29"/>
      <c r="M23" s="16" t="s">
        <v>17</v>
      </c>
      <c r="N23" s="29"/>
      <c r="O23" s="17" t="str">
        <f t="shared" si="61"/>
        <v>-</v>
      </c>
      <c r="P23" s="178"/>
      <c r="Q23" s="29"/>
      <c r="R23" s="16" t="s">
        <v>17</v>
      </c>
      <c r="S23" s="29"/>
      <c r="T23" s="17" t="str">
        <f t="shared" si="62"/>
        <v>-</v>
      </c>
      <c r="U23" s="178"/>
      <c r="V23" s="29"/>
      <c r="W23" s="16" t="s">
        <v>17</v>
      </c>
      <c r="X23" s="29"/>
      <c r="Y23" s="17" t="str">
        <f t="shared" si="63"/>
        <v>-</v>
      </c>
      <c r="Z23" s="178"/>
      <c r="AA23" s="29"/>
      <c r="AB23" s="16" t="s">
        <v>17</v>
      </c>
      <c r="AC23" s="29"/>
      <c r="AD23" s="17" t="str">
        <f t="shared" si="64"/>
        <v>-</v>
      </c>
      <c r="AE23" s="173"/>
      <c r="AF23" s="29"/>
      <c r="AG23" s="16" t="s">
        <v>17</v>
      </c>
      <c r="AH23" s="29"/>
      <c r="AI23" s="17" t="str">
        <f t="shared" si="65"/>
        <v>-</v>
      </c>
      <c r="AJ23" s="178"/>
      <c r="AK23" s="29"/>
      <c r="AL23" s="16" t="s">
        <v>17</v>
      </c>
      <c r="AM23" s="29"/>
      <c r="AN23" s="17" t="str">
        <f t="shared" si="66"/>
        <v>-</v>
      </c>
      <c r="AO23" s="178"/>
      <c r="AP23" s="29"/>
      <c r="AQ23" s="16" t="s">
        <v>17</v>
      </c>
      <c r="AR23" s="29"/>
      <c r="AS23" s="17" t="str">
        <f t="shared" si="67"/>
        <v>-</v>
      </c>
      <c r="AT23" s="173"/>
      <c r="AU23" s="29"/>
      <c r="AV23" s="16" t="s">
        <v>17</v>
      </c>
      <c r="AW23" s="29"/>
      <c r="AX23" s="17" t="str">
        <f t="shared" si="68"/>
        <v>-</v>
      </c>
      <c r="AY23" s="168"/>
      <c r="AZ23" s="29"/>
      <c r="BA23" s="16" t="s">
        <v>17</v>
      </c>
      <c r="BB23" s="29"/>
      <c r="BC23" s="17" t="str">
        <f t="shared" si="69"/>
        <v>-</v>
      </c>
      <c r="BD23" s="169"/>
      <c r="BE23" s="199"/>
      <c r="BF23" s="174" t="s">
        <v>17</v>
      </c>
      <c r="BG23" s="199"/>
      <c r="BH23" s="19" t="str">
        <f t="shared" si="70"/>
        <v>-</v>
      </c>
      <c r="BI23" s="169"/>
      <c r="BJ23" s="29"/>
      <c r="BK23" s="174" t="s">
        <v>17</v>
      </c>
      <c r="BL23" s="29"/>
      <c r="BM23" s="19" t="str">
        <f t="shared" si="71"/>
        <v>-</v>
      </c>
      <c r="BN23" s="169"/>
      <c r="BO23" s="29"/>
      <c r="BP23" s="174" t="s">
        <v>17</v>
      </c>
      <c r="BQ23" s="29"/>
      <c r="BR23" s="19" t="str">
        <f t="shared" si="72"/>
        <v>-</v>
      </c>
      <c r="BS23" s="169"/>
      <c r="BT23" s="29"/>
      <c r="BU23" s="174" t="s">
        <v>17</v>
      </c>
      <c r="BV23" s="29"/>
      <c r="BW23" s="19" t="str">
        <f t="shared" si="73"/>
        <v>-</v>
      </c>
      <c r="BX23" s="166"/>
      <c r="BY23" s="175"/>
      <c r="BZ23" s="16" t="s">
        <v>17</v>
      </c>
      <c r="CA23" s="175"/>
      <c r="CB23" s="17" t="str">
        <f t="shared" si="74"/>
        <v>-</v>
      </c>
      <c r="CC23" s="170"/>
      <c r="CD23" s="175"/>
      <c r="CE23" s="16" t="s">
        <v>17</v>
      </c>
      <c r="CF23" s="175"/>
      <c r="CG23" s="17" t="str">
        <f t="shared" si="75"/>
        <v>-</v>
      </c>
      <c r="CH23" s="170"/>
      <c r="CI23" s="175"/>
      <c r="CJ23" s="16" t="s">
        <v>17</v>
      </c>
      <c r="CK23" s="175"/>
      <c r="CL23" s="17" t="str">
        <f t="shared" si="76"/>
        <v>-</v>
      </c>
      <c r="CM23" s="170"/>
      <c r="CN23" s="175"/>
      <c r="CO23" s="16" t="s">
        <v>17</v>
      </c>
      <c r="CP23" s="175"/>
      <c r="CQ23" s="17" t="str">
        <f t="shared" si="77"/>
        <v>-</v>
      </c>
      <c r="CR23" s="170"/>
      <c r="CS23" s="175"/>
      <c r="CT23" s="16" t="s">
        <v>17</v>
      </c>
      <c r="CU23" s="175"/>
      <c r="CV23" s="17" t="str">
        <f t="shared" si="78"/>
        <v>-</v>
      </c>
      <c r="CW23" s="170"/>
      <c r="CX23" s="175"/>
      <c r="CY23" s="16" t="s">
        <v>17</v>
      </c>
      <c r="CZ23" s="175"/>
      <c r="DA23" s="17" t="str">
        <f t="shared" si="79"/>
        <v>-</v>
      </c>
      <c r="DB23" s="170"/>
      <c r="DC23" s="175"/>
      <c r="DD23" s="16" t="s">
        <v>17</v>
      </c>
      <c r="DE23" s="175"/>
      <c r="DF23" s="17" t="str">
        <f t="shared" si="80"/>
        <v>-</v>
      </c>
      <c r="DG23" s="170"/>
      <c r="DH23" s="175"/>
      <c r="DI23" s="16" t="s">
        <v>17</v>
      </c>
      <c r="DJ23" s="175"/>
      <c r="DK23" s="17" t="str">
        <f t="shared" si="81"/>
        <v>-</v>
      </c>
      <c r="DL23" s="170"/>
      <c r="DM23" s="175"/>
      <c r="DN23" s="16" t="s">
        <v>17</v>
      </c>
      <c r="DO23" s="175"/>
      <c r="DP23" s="17" t="str">
        <f t="shared" si="82"/>
        <v>-</v>
      </c>
      <c r="DQ23" s="170"/>
      <c r="DR23" s="175"/>
      <c r="DS23" s="16" t="s">
        <v>17</v>
      </c>
      <c r="DT23" s="175"/>
      <c r="DU23" s="17" t="str">
        <f t="shared" si="83"/>
        <v>-</v>
      </c>
      <c r="DV23" s="170"/>
      <c r="DW23" s="175"/>
      <c r="DX23" s="16" t="s">
        <v>17</v>
      </c>
      <c r="DY23" s="175"/>
      <c r="DZ23" s="17" t="str">
        <f t="shared" si="84"/>
        <v>-</v>
      </c>
      <c r="EA23" s="166"/>
      <c r="EB23" s="175"/>
      <c r="EC23" s="16" t="s">
        <v>17</v>
      </c>
      <c r="ED23" s="175"/>
      <c r="EE23" s="17" t="str">
        <f t="shared" si="85"/>
        <v>-</v>
      </c>
      <c r="EF23" s="166"/>
      <c r="EG23" s="175"/>
      <c r="EH23" s="16" t="s">
        <v>17</v>
      </c>
      <c r="EI23" s="175"/>
      <c r="EJ23" s="17" t="str">
        <f t="shared" si="86"/>
        <v>-</v>
      </c>
      <c r="EK23" s="166"/>
      <c r="EL23" s="175"/>
      <c r="EM23" s="16" t="s">
        <v>17</v>
      </c>
      <c r="EN23" s="175"/>
      <c r="EO23" s="17" t="str">
        <f t="shared" si="87"/>
        <v>-</v>
      </c>
      <c r="EP23" s="166"/>
      <c r="EQ23" s="175"/>
      <c r="ER23" s="16" t="s">
        <v>17</v>
      </c>
      <c r="ES23" s="175"/>
      <c r="ET23" s="17" t="str">
        <f t="shared" si="88"/>
        <v>-</v>
      </c>
      <c r="EU23" s="166"/>
      <c r="EV23" s="29"/>
      <c r="EW23" s="174" t="s">
        <v>17</v>
      </c>
      <c r="EX23" s="29"/>
      <c r="EY23" s="19" t="str">
        <f t="shared" si="89"/>
        <v>-</v>
      </c>
      <c r="EZ23" s="166"/>
      <c r="FA23" s="8"/>
    </row>
    <row r="24" spans="1:157" ht="17.399999999999999">
      <c r="A24" s="59" t="s">
        <v>85</v>
      </c>
      <c r="B24" s="60"/>
      <c r="C24" s="61" t="s">
        <v>17</v>
      </c>
      <c r="D24" s="60"/>
      <c r="E24" s="59" t="s">
        <v>82</v>
      </c>
      <c r="F24" s="166"/>
      <c r="G24" s="197"/>
      <c r="H24" s="194" t="s">
        <v>17</v>
      </c>
      <c r="I24" s="197"/>
      <c r="J24" s="62" t="str">
        <f t="shared" si="60"/>
        <v>-</v>
      </c>
      <c r="K24" s="178"/>
      <c r="L24" s="197"/>
      <c r="M24" s="194" t="s">
        <v>17</v>
      </c>
      <c r="N24" s="197"/>
      <c r="O24" s="62" t="str">
        <f t="shared" si="61"/>
        <v>-</v>
      </c>
      <c r="P24" s="178"/>
      <c r="Q24" s="197"/>
      <c r="R24" s="194" t="s">
        <v>17</v>
      </c>
      <c r="S24" s="197"/>
      <c r="T24" s="62" t="str">
        <f t="shared" si="62"/>
        <v>-</v>
      </c>
      <c r="U24" s="178"/>
      <c r="V24" s="197"/>
      <c r="W24" s="194" t="s">
        <v>17</v>
      </c>
      <c r="X24" s="197"/>
      <c r="Y24" s="62" t="str">
        <f t="shared" si="63"/>
        <v>-</v>
      </c>
      <c r="Z24" s="178"/>
      <c r="AA24" s="197"/>
      <c r="AB24" s="194" t="s">
        <v>17</v>
      </c>
      <c r="AC24" s="197"/>
      <c r="AD24" s="62" t="str">
        <f t="shared" si="64"/>
        <v>-</v>
      </c>
      <c r="AE24" s="173"/>
      <c r="AF24" s="197"/>
      <c r="AG24" s="194" t="s">
        <v>17</v>
      </c>
      <c r="AH24" s="197"/>
      <c r="AI24" s="62" t="str">
        <f t="shared" si="65"/>
        <v>-</v>
      </c>
      <c r="AJ24" s="178"/>
      <c r="AK24" s="197"/>
      <c r="AL24" s="194" t="s">
        <v>17</v>
      </c>
      <c r="AM24" s="197"/>
      <c r="AN24" s="62" t="str">
        <f t="shared" si="66"/>
        <v>-</v>
      </c>
      <c r="AO24" s="178"/>
      <c r="AP24" s="197"/>
      <c r="AQ24" s="194" t="s">
        <v>17</v>
      </c>
      <c r="AR24" s="197"/>
      <c r="AS24" s="62" t="str">
        <f t="shared" si="67"/>
        <v>-</v>
      </c>
      <c r="AT24" s="173"/>
      <c r="AU24" s="197"/>
      <c r="AV24" s="194" t="s">
        <v>17</v>
      </c>
      <c r="AW24" s="197"/>
      <c r="AX24" s="62" t="str">
        <f t="shared" si="68"/>
        <v>-</v>
      </c>
      <c r="AY24" s="168"/>
      <c r="AZ24" s="197"/>
      <c r="BA24" s="194" t="s">
        <v>17</v>
      </c>
      <c r="BB24" s="197"/>
      <c r="BC24" s="62" t="str">
        <f t="shared" si="69"/>
        <v>-</v>
      </c>
      <c r="BD24" s="169"/>
      <c r="BE24" s="198"/>
      <c r="BF24" s="195" t="s">
        <v>17</v>
      </c>
      <c r="BG24" s="198"/>
      <c r="BH24" s="63" t="str">
        <f t="shared" si="70"/>
        <v>-</v>
      </c>
      <c r="BI24" s="169"/>
      <c r="BJ24" s="197"/>
      <c r="BK24" s="195" t="s">
        <v>17</v>
      </c>
      <c r="BL24" s="197"/>
      <c r="BM24" s="63" t="str">
        <f t="shared" si="71"/>
        <v>-</v>
      </c>
      <c r="BN24" s="169"/>
      <c r="BO24" s="197"/>
      <c r="BP24" s="195" t="s">
        <v>17</v>
      </c>
      <c r="BQ24" s="197"/>
      <c r="BR24" s="63" t="str">
        <f t="shared" si="72"/>
        <v>-</v>
      </c>
      <c r="BS24" s="169"/>
      <c r="BT24" s="197"/>
      <c r="BU24" s="195" t="s">
        <v>17</v>
      </c>
      <c r="BV24" s="197"/>
      <c r="BW24" s="63" t="str">
        <f t="shared" si="73"/>
        <v>-</v>
      </c>
      <c r="BX24" s="166"/>
      <c r="BY24" s="196"/>
      <c r="BZ24" s="194" t="s">
        <v>17</v>
      </c>
      <c r="CA24" s="196"/>
      <c r="CB24" s="62" t="str">
        <f t="shared" si="74"/>
        <v>-</v>
      </c>
      <c r="CC24" s="170"/>
      <c r="CD24" s="196"/>
      <c r="CE24" s="194" t="s">
        <v>17</v>
      </c>
      <c r="CF24" s="196"/>
      <c r="CG24" s="62" t="str">
        <f t="shared" si="75"/>
        <v>-</v>
      </c>
      <c r="CH24" s="170"/>
      <c r="CI24" s="196"/>
      <c r="CJ24" s="194" t="s">
        <v>17</v>
      </c>
      <c r="CK24" s="196"/>
      <c r="CL24" s="62" t="str">
        <f t="shared" si="76"/>
        <v>-</v>
      </c>
      <c r="CM24" s="170"/>
      <c r="CN24" s="196"/>
      <c r="CO24" s="194" t="s">
        <v>17</v>
      </c>
      <c r="CP24" s="196"/>
      <c r="CQ24" s="62" t="str">
        <f t="shared" si="77"/>
        <v>-</v>
      </c>
      <c r="CR24" s="170"/>
      <c r="CS24" s="196"/>
      <c r="CT24" s="194" t="s">
        <v>17</v>
      </c>
      <c r="CU24" s="196"/>
      <c r="CV24" s="62" t="str">
        <f t="shared" si="78"/>
        <v>-</v>
      </c>
      <c r="CW24" s="170"/>
      <c r="CX24" s="196"/>
      <c r="CY24" s="194" t="s">
        <v>17</v>
      </c>
      <c r="CZ24" s="196"/>
      <c r="DA24" s="62" t="str">
        <f t="shared" si="79"/>
        <v>-</v>
      </c>
      <c r="DB24" s="170"/>
      <c r="DC24" s="196"/>
      <c r="DD24" s="194" t="s">
        <v>17</v>
      </c>
      <c r="DE24" s="196"/>
      <c r="DF24" s="62" t="str">
        <f t="shared" si="80"/>
        <v>-</v>
      </c>
      <c r="DG24" s="170"/>
      <c r="DH24" s="196"/>
      <c r="DI24" s="194" t="s">
        <v>17</v>
      </c>
      <c r="DJ24" s="196"/>
      <c r="DK24" s="62" t="str">
        <f t="shared" si="81"/>
        <v>-</v>
      </c>
      <c r="DL24" s="170"/>
      <c r="DM24" s="196"/>
      <c r="DN24" s="194" t="s">
        <v>17</v>
      </c>
      <c r="DO24" s="196"/>
      <c r="DP24" s="62" t="str">
        <f t="shared" si="82"/>
        <v>-</v>
      </c>
      <c r="DQ24" s="170"/>
      <c r="DR24" s="196"/>
      <c r="DS24" s="194" t="s">
        <v>17</v>
      </c>
      <c r="DT24" s="196"/>
      <c r="DU24" s="62" t="str">
        <f t="shared" si="83"/>
        <v>-</v>
      </c>
      <c r="DV24" s="170"/>
      <c r="DW24" s="196"/>
      <c r="DX24" s="194" t="s">
        <v>17</v>
      </c>
      <c r="DY24" s="196"/>
      <c r="DZ24" s="62" t="str">
        <f t="shared" si="84"/>
        <v>-</v>
      </c>
      <c r="EA24" s="166"/>
      <c r="EB24" s="196"/>
      <c r="EC24" s="194" t="s">
        <v>17</v>
      </c>
      <c r="ED24" s="196"/>
      <c r="EE24" s="62" t="str">
        <f t="shared" si="85"/>
        <v>-</v>
      </c>
      <c r="EF24" s="166"/>
      <c r="EG24" s="196"/>
      <c r="EH24" s="194" t="s">
        <v>17</v>
      </c>
      <c r="EI24" s="196"/>
      <c r="EJ24" s="62" t="str">
        <f t="shared" si="86"/>
        <v>-</v>
      </c>
      <c r="EK24" s="166"/>
      <c r="EL24" s="196"/>
      <c r="EM24" s="194" t="s">
        <v>17</v>
      </c>
      <c r="EN24" s="196"/>
      <c r="EO24" s="62" t="str">
        <f t="shared" si="87"/>
        <v>-</v>
      </c>
      <c r="EP24" s="166"/>
      <c r="EQ24" s="196"/>
      <c r="ER24" s="194" t="s">
        <v>17</v>
      </c>
      <c r="ES24" s="196"/>
      <c r="ET24" s="62" t="str">
        <f t="shared" si="88"/>
        <v>-</v>
      </c>
      <c r="EU24" s="166"/>
      <c r="EV24" s="197"/>
      <c r="EW24" s="195" t="s">
        <v>17</v>
      </c>
      <c r="EX24" s="197"/>
      <c r="EY24" s="63" t="str">
        <f t="shared" si="89"/>
        <v>-</v>
      </c>
      <c r="EZ24" s="166"/>
      <c r="FA24" s="8"/>
    </row>
    <row r="25" spans="1:157" ht="17.399999999999999">
      <c r="A25" s="64"/>
      <c r="B25" s="64"/>
      <c r="C25" s="65"/>
      <c r="D25" s="64"/>
      <c r="E25" s="64"/>
      <c r="F25" s="166"/>
      <c r="G25" s="320">
        <f>SUM(J19:J24)</f>
        <v>0</v>
      </c>
      <c r="H25" s="301"/>
      <c r="I25" s="301"/>
      <c r="J25" s="179"/>
      <c r="K25" s="180"/>
      <c r="L25" s="320">
        <f>SUM(O19:O24)</f>
        <v>0</v>
      </c>
      <c r="M25" s="301"/>
      <c r="N25" s="301"/>
      <c r="O25" s="179"/>
      <c r="P25" s="180"/>
      <c r="Q25" s="320">
        <f>SUM(T19:T24)</f>
        <v>0</v>
      </c>
      <c r="R25" s="301"/>
      <c r="S25" s="301"/>
      <c r="T25" s="179"/>
      <c r="U25" s="180"/>
      <c r="V25" s="320">
        <f>SUM(Y19:Y24)</f>
        <v>0</v>
      </c>
      <c r="W25" s="301"/>
      <c r="X25" s="301"/>
      <c r="Y25" s="179"/>
      <c r="Z25" s="180"/>
      <c r="AA25" s="320">
        <f>SUM(AD19:AD24)</f>
        <v>0</v>
      </c>
      <c r="AB25" s="301"/>
      <c r="AC25" s="301"/>
      <c r="AD25" s="179"/>
      <c r="AE25" s="180"/>
      <c r="AF25" s="320">
        <f>SUM(AI19:AI24)</f>
        <v>0</v>
      </c>
      <c r="AG25" s="301"/>
      <c r="AH25" s="301"/>
      <c r="AI25" s="179"/>
      <c r="AJ25" s="180"/>
      <c r="AK25" s="320">
        <f>SUM(AN19:AN24)</f>
        <v>0</v>
      </c>
      <c r="AL25" s="301"/>
      <c r="AM25" s="301"/>
      <c r="AN25" s="179"/>
      <c r="AO25" s="180"/>
      <c r="AP25" s="320">
        <f>SUM(AS19:AS24)</f>
        <v>0</v>
      </c>
      <c r="AQ25" s="301"/>
      <c r="AR25" s="301"/>
      <c r="AS25" s="181"/>
      <c r="AT25" s="180"/>
      <c r="AU25" s="320">
        <f>SUM(AX19:AX24)</f>
        <v>0</v>
      </c>
      <c r="AV25" s="301"/>
      <c r="AW25" s="301"/>
      <c r="AX25" s="182"/>
      <c r="AY25" s="168"/>
      <c r="AZ25" s="320">
        <f>SUM(BC19:BC24)</f>
        <v>0</v>
      </c>
      <c r="BA25" s="301"/>
      <c r="BB25" s="301"/>
      <c r="BC25" s="182"/>
      <c r="BD25" s="169"/>
      <c r="BE25" s="320">
        <f>SUM(BH19:BH24)</f>
        <v>0</v>
      </c>
      <c r="BF25" s="301"/>
      <c r="BG25" s="301"/>
      <c r="BH25" s="182"/>
      <c r="BI25" s="169"/>
      <c r="BJ25" s="320">
        <f>SUM(BM19:BM24)</f>
        <v>0</v>
      </c>
      <c r="BK25" s="301"/>
      <c r="BL25" s="301"/>
      <c r="BM25" s="182"/>
      <c r="BN25" s="169"/>
      <c r="BO25" s="320">
        <f>SUM(BR19:BR24)</f>
        <v>0</v>
      </c>
      <c r="BP25" s="301"/>
      <c r="BQ25" s="301"/>
      <c r="BR25" s="182"/>
      <c r="BS25" s="169"/>
      <c r="BT25" s="320">
        <f>SUM(BW19:BW24)</f>
        <v>0</v>
      </c>
      <c r="BU25" s="301"/>
      <c r="BV25" s="301"/>
      <c r="BW25" s="182"/>
      <c r="BX25" s="166"/>
      <c r="BY25" s="320">
        <f>SUM(CB19:CB24)</f>
        <v>0</v>
      </c>
      <c r="BZ25" s="301"/>
      <c r="CA25" s="301"/>
      <c r="CB25" s="182"/>
      <c r="CC25" s="183"/>
      <c r="CD25" s="320">
        <f>SUM(CG19:CG24)</f>
        <v>0</v>
      </c>
      <c r="CE25" s="301"/>
      <c r="CF25" s="301"/>
      <c r="CG25" s="182"/>
      <c r="CH25" s="183"/>
      <c r="CI25" s="320">
        <f>SUM(CL19:CL24)</f>
        <v>0</v>
      </c>
      <c r="CJ25" s="301"/>
      <c r="CK25" s="301"/>
      <c r="CL25" s="182"/>
      <c r="CM25" s="183"/>
      <c r="CN25" s="320">
        <f>SUM(CQ19:CQ24)</f>
        <v>0</v>
      </c>
      <c r="CO25" s="301"/>
      <c r="CP25" s="301"/>
      <c r="CQ25" s="182"/>
      <c r="CR25" s="183"/>
      <c r="CS25" s="320">
        <f>SUM(CV19:CV24)</f>
        <v>0</v>
      </c>
      <c r="CT25" s="301"/>
      <c r="CU25" s="301"/>
      <c r="CV25" s="182"/>
      <c r="CW25" s="183"/>
      <c r="CX25" s="320">
        <f>SUM(DA19:DA24)</f>
        <v>0</v>
      </c>
      <c r="CY25" s="301"/>
      <c r="CZ25" s="301"/>
      <c r="DA25" s="182"/>
      <c r="DB25" s="183"/>
      <c r="DC25" s="320">
        <f>SUM(DF19:DF24)</f>
        <v>0</v>
      </c>
      <c r="DD25" s="301"/>
      <c r="DE25" s="301"/>
      <c r="DF25" s="182"/>
      <c r="DG25" s="183"/>
      <c r="DH25" s="320">
        <f>SUM(DK19:DK24)</f>
        <v>0</v>
      </c>
      <c r="DI25" s="301"/>
      <c r="DJ25" s="301"/>
      <c r="DK25" s="182"/>
      <c r="DL25" s="183"/>
      <c r="DM25" s="320">
        <f>SUM(DP19:DP24)</f>
        <v>0</v>
      </c>
      <c r="DN25" s="301"/>
      <c r="DO25" s="301"/>
      <c r="DP25" s="182"/>
      <c r="DQ25" s="183"/>
      <c r="DR25" s="320">
        <f>SUM(DU19:DU24)</f>
        <v>0</v>
      </c>
      <c r="DS25" s="301"/>
      <c r="DT25" s="301"/>
      <c r="DU25" s="182"/>
      <c r="DV25" s="183"/>
      <c r="DW25" s="320">
        <f>SUM(DZ19:DZ24)</f>
        <v>0</v>
      </c>
      <c r="DX25" s="301"/>
      <c r="DY25" s="301"/>
      <c r="DZ25" s="182"/>
      <c r="EA25" s="166"/>
      <c r="EB25" s="320">
        <f>SUM(EE19:EE24)</f>
        <v>0</v>
      </c>
      <c r="EC25" s="301"/>
      <c r="ED25" s="301"/>
      <c r="EE25" s="182"/>
      <c r="EF25" s="166"/>
      <c r="EG25" s="320">
        <f>SUM(EJ19:EJ24)</f>
        <v>0</v>
      </c>
      <c r="EH25" s="301"/>
      <c r="EI25" s="301"/>
      <c r="EJ25" s="182"/>
      <c r="EK25" s="166"/>
      <c r="EL25" s="320">
        <f>SUM(EO19:EO24)</f>
        <v>0</v>
      </c>
      <c r="EM25" s="301"/>
      <c r="EN25" s="301"/>
      <c r="EO25" s="182"/>
      <c r="EP25" s="166"/>
      <c r="EQ25" s="320">
        <f>SUM(ET19:ET24)</f>
        <v>0</v>
      </c>
      <c r="ER25" s="301"/>
      <c r="ES25" s="301"/>
      <c r="ET25" s="182"/>
      <c r="EU25" s="166"/>
      <c r="EV25" s="320">
        <f>SUM(EY19:EY24)</f>
        <v>0</v>
      </c>
      <c r="EW25" s="301"/>
      <c r="EX25" s="301"/>
      <c r="EY25" s="182"/>
      <c r="EZ25" s="166"/>
      <c r="FA25" s="8"/>
    </row>
    <row r="26" spans="1:157" ht="17.399999999999999">
      <c r="A26" s="327" t="s">
        <v>31</v>
      </c>
      <c r="B26" s="301"/>
      <c r="C26" s="301"/>
      <c r="D26" s="301"/>
      <c r="E26" s="301"/>
      <c r="F26" s="166"/>
      <c r="G26" s="327"/>
      <c r="H26" s="301"/>
      <c r="I26" s="301"/>
      <c r="J26" s="200"/>
      <c r="K26" s="167"/>
      <c r="L26" s="327"/>
      <c r="M26" s="301"/>
      <c r="N26" s="301"/>
      <c r="O26" s="200"/>
      <c r="P26" s="167"/>
      <c r="Q26" s="327"/>
      <c r="R26" s="301"/>
      <c r="S26" s="301"/>
      <c r="T26" s="200"/>
      <c r="U26" s="167"/>
      <c r="V26" s="327"/>
      <c r="W26" s="301"/>
      <c r="X26" s="301"/>
      <c r="Y26" s="200"/>
      <c r="Z26" s="167"/>
      <c r="AA26" s="327"/>
      <c r="AB26" s="301"/>
      <c r="AC26" s="301"/>
      <c r="AD26" s="200"/>
      <c r="AE26" s="167"/>
      <c r="AF26" s="327"/>
      <c r="AG26" s="301"/>
      <c r="AH26" s="301"/>
      <c r="AI26" s="200"/>
      <c r="AJ26" s="167"/>
      <c r="AK26" s="327"/>
      <c r="AL26" s="301"/>
      <c r="AM26" s="301"/>
      <c r="AN26" s="200"/>
      <c r="AO26" s="167"/>
      <c r="AP26" s="327"/>
      <c r="AQ26" s="301"/>
      <c r="AR26" s="301"/>
      <c r="AS26" s="200"/>
      <c r="AT26" s="167"/>
      <c r="AU26" s="327"/>
      <c r="AV26" s="301"/>
      <c r="AW26" s="301"/>
      <c r="AX26" s="200"/>
      <c r="AY26" s="168"/>
      <c r="AZ26" s="327"/>
      <c r="BA26" s="301"/>
      <c r="BB26" s="301"/>
      <c r="BC26" s="200"/>
      <c r="BD26" s="169"/>
      <c r="BE26" s="327"/>
      <c r="BF26" s="301"/>
      <c r="BG26" s="301"/>
      <c r="BH26" s="200"/>
      <c r="BI26" s="169"/>
      <c r="BJ26" s="327"/>
      <c r="BK26" s="301"/>
      <c r="BL26" s="301"/>
      <c r="BM26" s="200"/>
      <c r="BN26" s="169"/>
      <c r="BO26" s="327"/>
      <c r="BP26" s="301"/>
      <c r="BQ26" s="301"/>
      <c r="BR26" s="66"/>
      <c r="BS26" s="169"/>
      <c r="BT26" s="327"/>
      <c r="BU26" s="301"/>
      <c r="BV26" s="301"/>
      <c r="BW26" s="66"/>
      <c r="BX26" s="166"/>
      <c r="BY26" s="341"/>
      <c r="BZ26" s="301"/>
      <c r="CA26" s="301"/>
      <c r="CB26" s="201"/>
      <c r="CC26" s="170"/>
      <c r="CD26" s="341"/>
      <c r="CE26" s="301"/>
      <c r="CF26" s="301"/>
      <c r="CG26" s="201"/>
      <c r="CH26" s="170"/>
      <c r="CI26" s="341"/>
      <c r="CJ26" s="301"/>
      <c r="CK26" s="301"/>
      <c r="CL26" s="201"/>
      <c r="CM26" s="170"/>
      <c r="CN26" s="341"/>
      <c r="CO26" s="301"/>
      <c r="CP26" s="301"/>
      <c r="CQ26" s="201"/>
      <c r="CR26" s="170"/>
      <c r="CS26" s="341"/>
      <c r="CT26" s="301"/>
      <c r="CU26" s="301"/>
      <c r="CV26" s="201"/>
      <c r="CW26" s="170"/>
      <c r="CX26" s="341"/>
      <c r="CY26" s="301"/>
      <c r="CZ26" s="301"/>
      <c r="DA26" s="201"/>
      <c r="DB26" s="170"/>
      <c r="DC26" s="341"/>
      <c r="DD26" s="301"/>
      <c r="DE26" s="301"/>
      <c r="DF26" s="201"/>
      <c r="DG26" s="170"/>
      <c r="DH26" s="341"/>
      <c r="DI26" s="301"/>
      <c r="DJ26" s="301"/>
      <c r="DK26" s="201"/>
      <c r="DL26" s="170"/>
      <c r="DM26" s="341"/>
      <c r="DN26" s="301"/>
      <c r="DO26" s="301"/>
      <c r="DP26" s="66"/>
      <c r="DQ26" s="170"/>
      <c r="DR26" s="341"/>
      <c r="DS26" s="301"/>
      <c r="DT26" s="301"/>
      <c r="DU26" s="66"/>
      <c r="DV26" s="170"/>
      <c r="DW26" s="341"/>
      <c r="DX26" s="301"/>
      <c r="DY26" s="301"/>
      <c r="DZ26" s="66"/>
      <c r="EA26" s="166"/>
      <c r="EB26" s="341"/>
      <c r="EC26" s="301"/>
      <c r="ED26" s="301"/>
      <c r="EE26" s="72"/>
      <c r="EF26" s="166"/>
      <c r="EG26" s="341"/>
      <c r="EH26" s="301"/>
      <c r="EI26" s="301"/>
      <c r="EJ26" s="66"/>
      <c r="EK26" s="166"/>
      <c r="EL26" s="341"/>
      <c r="EM26" s="301"/>
      <c r="EN26" s="301"/>
      <c r="EO26" s="66"/>
      <c r="EP26" s="166"/>
      <c r="EQ26" s="341"/>
      <c r="ER26" s="301"/>
      <c r="ES26" s="301"/>
      <c r="ET26" s="66"/>
      <c r="EU26" s="166"/>
      <c r="EV26" s="327"/>
      <c r="EW26" s="301"/>
      <c r="EX26" s="301"/>
      <c r="EY26" s="66"/>
      <c r="EZ26" s="166"/>
      <c r="FA26" s="8"/>
    </row>
    <row r="27" spans="1:157" ht="17.399999999999999">
      <c r="A27" s="12" t="s">
        <v>86</v>
      </c>
      <c r="B27" s="13"/>
      <c r="C27" s="14" t="s">
        <v>17</v>
      </c>
      <c r="D27" s="13"/>
      <c r="E27" s="12" t="s">
        <v>87</v>
      </c>
      <c r="F27" s="166"/>
      <c r="G27" s="15"/>
      <c r="H27" s="16" t="s">
        <v>17</v>
      </c>
      <c r="I27" s="15"/>
      <c r="J27" s="17" t="str">
        <f t="shared" ref="J27:J32" si="90">IF(OR(B27="", D27=""), "-",
  IF(OR(G27="", I27=""), 0,
    IF(AND(G27=B27, I27=D27), 10,
      IF(AND(OR(AND(B27&gt;D27, G27&gt;I27), AND(B27&lt;D27, G27&lt;I27), AND(B27=D27, G27=I27)), OR(G27=B27, I27=D27)), 7,
        IF(OR(AND(B27&gt;D27, G27&gt;I27), AND(B27&lt;D27, G27&lt;I27), AND(B27=D27, G27=I27)), 5,
          IF(OR(G27=B27, I27=D27), 2, 0)
        )
      )
    )
  )
)</f>
        <v>-</v>
      </c>
      <c r="K27" s="173"/>
      <c r="L27" s="15"/>
      <c r="M27" s="16" t="s">
        <v>17</v>
      </c>
      <c r="N27" s="15"/>
      <c r="O27" s="17" t="str">
        <f t="shared" ref="O27:O32" si="91">IF(OR(B27="", D27=""), "-",
  IF(OR(L27="", N27=""), 0,
    IF(AND(L27=B27, N27=D27), 10,
      IF(AND(OR(AND(B27&gt;D27, L27&gt;N27), AND(B27&lt;D27, L27&lt;N27), AND(B27=D27, L27=N27)), OR(L27=B27, N27=D27)), 7,
        IF(OR(AND(B27&gt;D27, L27&gt;N27), AND(B27&lt;D27, L27&lt;N27), AND(B27=D27, L27=N27)), 5,
          IF(OR(L27=B27, N27=D27), 2, 0)
        )
      )
    )
  )
)</f>
        <v>-</v>
      </c>
      <c r="P27" s="173"/>
      <c r="Q27" s="15"/>
      <c r="R27" s="16" t="s">
        <v>17</v>
      </c>
      <c r="S27" s="15"/>
      <c r="T27" s="17" t="str">
        <f t="shared" ref="T27:T32" si="92">IF(OR(B27="", D27=""), "-",
  IF(OR(Q27="", S27=""), 0,
    IF(AND(Q27=B27, S27=D27), 10,
      IF(AND(OR(AND(B27&gt;D27, Q27&gt;S27), AND(B27&lt;D27, Q27&lt;S27), AND(B27=D27, Q27=S27)), OR(Q27=B27, S27=D27)), 7,
        IF(OR(AND(B27&gt;D27, Q27&gt;S27), AND(B27&lt;D27, Q27&lt;S27), AND(B27=D27, Q27=S27)), 5,
          IF(OR(Q27=B27, S27=D27), 2, 0)
        )
      )
    )
  )
)</f>
        <v>-</v>
      </c>
      <c r="U27" s="173"/>
      <c r="V27" s="15"/>
      <c r="W27" s="16" t="s">
        <v>17</v>
      </c>
      <c r="X27" s="15"/>
      <c r="Y27" s="17" t="str">
        <f t="shared" ref="Y27:Y32" si="93">IF(OR(B27="", D27=""), "-",
  IF(OR(V27="", X27=""), 0,
    IF(AND(V27=B27, X27=D27), 10,
      IF(AND(OR(AND(B27&gt;D27, V27&gt;X27), AND(B27&lt;D27, V27&lt;X27), AND(B27=D27, V27=X27)), OR(V27=B27, X27=D27)), 7,
        IF(OR(AND(B27&gt;D27, V27&gt;X27), AND(B27&lt;D27, V27&lt;X27), AND(B27=D27, V27=X27)), 5,
          IF(OR(V27=B27, X27=D27), 2, 0)
        )
      )
    )
  )
)</f>
        <v>-</v>
      </c>
      <c r="Z27" s="173"/>
      <c r="AA27" s="15"/>
      <c r="AB27" s="16" t="s">
        <v>17</v>
      </c>
      <c r="AC27" s="15"/>
      <c r="AD27" s="17" t="str">
        <f t="shared" ref="AD27:AD32" si="94">IF(OR(B27="", D27=""), "-",
  IF(OR(AA27="", AC27=""), 0,
    IF(AND(AA27=B27, AC27=D27), 10,
      IF(AND(OR(AND(B27&gt;D27, AA27&gt;AC27), AND(B27&lt;D27, AA27&lt;AC27), AND(B27=D27, AA27=AC27)), OR(AA27=B27, AC27=D27)), 7,
        IF(OR(AND(B27&gt;D27, AA27&gt;AC27), AND(B27&lt;D27, AA27&lt;AC27), AND(B27=D27, AA27=AC27)), 5,
          IF(OR(AA27=B27, AC27=D27), 2, 0)
        )
      )
    )
  )
)</f>
        <v>-</v>
      </c>
      <c r="AE27" s="173"/>
      <c r="AF27" s="15"/>
      <c r="AG27" s="16" t="s">
        <v>17</v>
      </c>
      <c r="AH27" s="15"/>
      <c r="AI27" s="17" t="str">
        <f t="shared" ref="AI27:AI32" si="95">IF(OR(B27="", D27=""), "-",
  IF(OR(AF27="", AH27=""), 0,
    IF(AND(AF27=B27, AH27=D27), 10,
      IF(AND(OR(AND(B27&gt;D27, AF27&gt;AH27), AND(B27&lt;D27, AF27&lt;AH27), AND(B27=D27, AF27=AH27)), OR(AF27=B27, AH27=D27)), 7,
        IF(OR(AND(B27&gt;D27, AF27&gt;AH27), AND(B27&lt;D27, AF27&lt;AH27), AND(B27=D27, AF27=AH27)), 5,
          IF(OR(AF27=B27, AH27=D27), 2, 0)
        )
      )
    )
  )
)</f>
        <v>-</v>
      </c>
      <c r="AJ27" s="173"/>
      <c r="AK27" s="15"/>
      <c r="AL27" s="16" t="s">
        <v>17</v>
      </c>
      <c r="AM27" s="15"/>
      <c r="AN27" s="17" t="str">
        <f t="shared" ref="AN27:AN32" si="96">IF(OR(B27="", D27=""), "-",
  IF(OR(AK27="", AM27=""), 0,
    IF(AND(AK27=B27, AM27=D27), 10,
      IF(AND(OR(AND(B27&gt;D27, AK27&gt;AM27), AND(B27&lt;D27, AK27&lt;AM27), AND(B27=D27, AK27=AM27)), OR(AK27=B27, AM27=D27)), 7,
        IF(OR(AND(B27&gt;D27, AK27&gt;AM27), AND(B27&lt;D27, AK27&lt;AM27), AND(B27=D27, AK27=AM27)), 5,
          IF(OR(AK27=B27, AM27=D27), 2, 0)
        )
      )
    )
  )
)</f>
        <v>-</v>
      </c>
      <c r="AO27" s="173"/>
      <c r="AP27" s="15"/>
      <c r="AQ27" s="16" t="s">
        <v>17</v>
      </c>
      <c r="AR27" s="15"/>
      <c r="AS27" s="17" t="str">
        <f t="shared" ref="AS27:AS32" si="97">IF(OR(B27="", D27=""), "-",
  IF(OR(AP27="", AR27=""), 0,
    IF(AND(AP27=B27, AR27=D27), 10,
      IF(AND(OR(AND(B27&gt;D27, AP27&gt;AR27), AND(B27&lt;D27, AP27&lt;AR27), AND(B27=D27, AP27=AR27)), OR(AP27=B27, AR27=D27)), 7,
        IF(OR(AND(B27&gt;D27, AP27&gt;AR27), AND(B27&lt;D27, AP27&lt;AR27), AND(B27=D27, AP27=AR27)), 5,
          IF(OR(AP27=B27, AR27=D27), 2, 0)
        )
      )
    )
  )
)</f>
        <v>-</v>
      </c>
      <c r="AT27" s="173"/>
      <c r="AU27" s="15"/>
      <c r="AV27" s="16" t="s">
        <v>17</v>
      </c>
      <c r="AW27" s="15"/>
      <c r="AX27" s="17" t="str">
        <f t="shared" ref="AX27:AX32" si="98">IF(OR(B27="", D27=""), "-",
  IF(OR(AU27="", AW27=""), 0,
    IF(AND(AU27=B27, AW27=D27), 10,
      IF(AND(OR(AND(B27&gt;D27, AU27&gt;AW27), AND(B27&lt;D27, AU27&lt;AW27), AND(B27=D27, AU27=AW27)), OR(AU27=B27, AW27=D27)), 7,
        IF(OR(AND(B27&gt;D27, AU27&gt;AW27), AND(B27&lt;D27, AU27&lt;AW27), AND(B27=D27, AU27=AW27)), 5,
          IF(OR(AU27=B27, AW27=D27), 2, 0)
        )
      )
    )
  )
)</f>
        <v>-</v>
      </c>
      <c r="AY27" s="168"/>
      <c r="AZ27" s="15"/>
      <c r="BA27" s="16" t="s">
        <v>17</v>
      </c>
      <c r="BB27" s="15"/>
      <c r="BC27" s="17" t="str">
        <f t="shared" ref="BC27:BC32" si="99">IF(OR(B27="", D27=""), "-",
  IF(OR(AZ27="", BB27=""), 0,
    IF(AND(AZ27=B27, BB27=D27), 10,
      IF(AND(OR(AND(B27&gt;D27, AZ27&gt;BB27), AND(B27&lt;D27, AZ27&lt;BB27), AND(B27=D27, AZ27=BB27)), OR(AZ27=B27, BB27=D27)), 7,
        IF(OR(AND(B27&gt;D27, AZ27&gt;BB27), AND(B27&lt;D27, AZ27&lt;BB27), AND(B27=D27, AZ27=BB27)), 5,
          IF(OR(AZ27=B27, BB27=D27), 2, 0)
        )
      )
    )
  )
)</f>
        <v>-</v>
      </c>
      <c r="BD27" s="169"/>
      <c r="BE27" s="13"/>
      <c r="BF27" s="174" t="s">
        <v>17</v>
      </c>
      <c r="BG27" s="13"/>
      <c r="BH27" s="19" t="str">
        <f t="shared" ref="BH27:BH32" si="100">IF(OR(B27="", D27=""), "-",
  IF(OR(BE27="", BG27=""), 0,
    IF(AND(BE27=B27, BG27=D27), 10,
      IF(AND(OR(AND(B27&gt;D27, BE27&gt;BG27), AND(B27&lt;D27, BE27&lt;BG27), AND(B27=D27, BE27=BG27)), OR(BE27=B27, BG27=D27)), 7,
        IF(OR(AND(B27&gt;D27, BE27&gt;BG27), AND(B27&lt;D27, BE27&lt;BG27), AND(B27=D27, BE27=BG27)), 5,
          IF(OR(BE27=B27, BG27=D27), 2, 0)
        )
      )
    )
  )
)</f>
        <v>-</v>
      </c>
      <c r="BI27" s="169"/>
      <c r="BJ27" s="15"/>
      <c r="BK27" s="174" t="s">
        <v>17</v>
      </c>
      <c r="BL27" s="15"/>
      <c r="BM27" s="19" t="str">
        <f t="shared" ref="BM27:BM32" si="101">IF(OR(B27="", D27=""), "-",
  IF(OR(BJ27="", BL27=""), 0,
    IF(AND(BJ27=B27, BL27=D27), 10,
      IF(AND(OR(AND(B27&gt;D27, BJ27&gt;BL27), AND(B27&lt;D27, BJ27&lt;BL27), AND(B27=D27, BJ27=BL27)), OR(BJ27=B27, BL27=D27)), 7,
        IF(OR(AND(B27&gt;D27, BJ27&gt;BL27), AND(B27&lt;D27, BJ27&lt;BL27), AND(B27=D27, BJ27=BL27)), 5,
          IF(OR(BJ27=B27, BL27=D27), 2, 0)
        )
      )
    )
  )
)</f>
        <v>-</v>
      </c>
      <c r="BN27" s="169"/>
      <c r="BO27" s="15"/>
      <c r="BP27" s="174" t="s">
        <v>17</v>
      </c>
      <c r="BQ27" s="15"/>
      <c r="BR27" s="19" t="str">
        <f t="shared" ref="BR27:BR32" si="102">IF(OR(B27="", D27=""), "-",
  IF(OR(BO27="", BQ27=""), 0,
    IF(AND(BO27=B27, BQ27=D27), 10,
      IF(AND(OR(AND(B27&gt;D27, BO27&gt;BQ27), AND(B27&lt;D27, BO27&lt;BQ27), AND(B27=D27, BO27=BQ27)), OR(BO27=B27, BQ27=D27)), 7,
        IF(OR(AND(B27&gt;D27, BO27&gt;BQ27), AND(B27&lt;D27, BO27&lt;BQ27), AND(B27=D27, BO27=BQ27)), 5,
          IF(OR(BO27=B27, BQ27=D27), 2, 0)
        )
      )
    )
  )
)</f>
        <v>-</v>
      </c>
      <c r="BS27" s="169"/>
      <c r="BT27" s="15"/>
      <c r="BU27" s="174" t="s">
        <v>17</v>
      </c>
      <c r="BV27" s="15"/>
      <c r="BW27" s="19" t="str">
        <f t="shared" ref="BW27:BW32" si="103">IF(OR(B27="", D27=""), "-",
  IF(OR(BT27="", BV27=""), 0,
    IF(AND(BT27=B27, BV27=D27), 10,
      IF(AND(OR(AND(B27&gt;D27, BT27&gt;BV27), AND(B27&lt;D27, BT27&lt;BV27), AND(B27=D27, BT27=BV27)), OR(BT27=B27, BV27=D27)), 7,
        IF(OR(AND(B27&gt;D27, BT27&gt;BV27), AND(B27&lt;D27, BT27&lt;BV27), AND(B27=D27, BT27=BV27)), 5,
          IF(OR(BT27=B27, BV27=D27), 2, 0)
        )
      )
    )
  )
)</f>
        <v>-</v>
      </c>
      <c r="BX27" s="166"/>
      <c r="BY27" s="175"/>
      <c r="BZ27" s="16" t="s">
        <v>17</v>
      </c>
      <c r="CA27" s="175"/>
      <c r="CB27" s="17" t="str">
        <f t="shared" ref="CB27:CB32" si="104">IF(OR(B27="", D27=""), "-",
  IF(OR(BY27="", CA27=""), 0,
    IF(AND(BY27=B27, CA27=D27), 10,
      IF(AND(OR(AND(B27&gt;D27, BY27&gt;CA27), AND(B27&lt;D27, BY27&lt;CA27), AND(B27=D27, BY27=CA27)), OR(BY27=B27, CA27=D27)), 7,
        IF(OR(AND(B27&gt;D27, BY27&gt;CA27), AND(B27&lt;D27, BY27&lt;CA27), AND(B27=D27, BY27=CA27)), 5,
          IF(OR(BY27=B27, CA27=D27), 2, 0)
        )
      )
    )
  )
)</f>
        <v>-</v>
      </c>
      <c r="CC27" s="170"/>
      <c r="CD27" s="175"/>
      <c r="CE27" s="16" t="s">
        <v>17</v>
      </c>
      <c r="CF27" s="175"/>
      <c r="CG27" s="17" t="str">
        <f t="shared" ref="CG27:CG32" si="105">IF(OR(B27="", D27=""), "-",
  IF(OR(CD27="", CF27=""), 0,
    IF(AND(CD27=B27, CF27=D27), 10,
      IF(AND(OR(AND(B27&gt;D27, CD27&gt;CF27), AND(B27&lt;D27, CD27&lt;CF27), AND(B27=D27, CD27=CF27)), OR(CD27=B27, CF27=D27)), 7,
        IF(OR(AND(B27&gt;D27, CD27&gt;CF27), AND(B27&lt;D27, CD27&lt;CF27), AND(B27=D27, CD27=CF27)), 5,
          IF(OR(CD27=B27, CF27=D27), 2, 0)
        )
      )
    )
  )
)</f>
        <v>-</v>
      </c>
      <c r="CH27" s="170"/>
      <c r="CI27" s="175"/>
      <c r="CJ27" s="16" t="s">
        <v>17</v>
      </c>
      <c r="CK27" s="175"/>
      <c r="CL27" s="17" t="str">
        <f t="shared" ref="CL27:CL32" si="106">IF(OR(B27="", D27=""), "-",
  IF(OR(CI27="", CK27=""), 0,
    IF(AND(CI27=B27, CK27=D27), 10,
      IF(AND(OR(AND(B27&gt;D27, CI27&gt;CK27), AND(B27&lt;D27, CI27&lt;CK27), AND(B27=D27, CI27=CK27)), OR(CI27=B27, CK27=D27)), 7,
        IF(OR(AND(B27&gt;D27, CI27&gt;CK27), AND(B27&lt;D27, CI27&lt;CK27), AND(B27=D27, CI27=CK27)), 5,
          IF(OR(CI27=B27, CK27=D27), 2, 0)
        )
      )
    )
  )
)</f>
        <v>-</v>
      </c>
      <c r="CM27" s="170"/>
      <c r="CN27" s="175"/>
      <c r="CO27" s="16" t="s">
        <v>17</v>
      </c>
      <c r="CP27" s="175"/>
      <c r="CQ27" s="17" t="str">
        <f t="shared" ref="CQ27:CQ32" si="107">IF(OR(B27="", D27=""), "-",
  IF(OR(CN27="", CP27=""), 0,
    IF(AND(CN27=B27, CP27=D27), 10,
      IF(AND(OR(AND(B27&gt;D27, CN27&gt;CP27), AND(B27&lt;D27, CN27&lt;CP27), AND(B27=D27, CN27=CP27)), OR(CN27=B27, CP27=D27)), 7,
        IF(OR(AND(B27&gt;D27, CN27&gt;CP27), AND(B27&lt;D27, CN27&lt;CP27), AND(B27=D27, CN27=CP27)), 5,
          IF(OR(CN27=B27, CP27=D27), 2, 0)
        )
      )
    )
  )
)</f>
        <v>-</v>
      </c>
      <c r="CR27" s="170"/>
      <c r="CS27" s="175"/>
      <c r="CT27" s="16" t="s">
        <v>17</v>
      </c>
      <c r="CU27" s="175"/>
      <c r="CV27" s="17" t="str">
        <f t="shared" ref="CV27:CV32" si="108">IF(OR(B27="", D27=""), "-",
  IF(OR(CS27="", CU27=""), 0,
    IF(AND(CS27=B27, CU27=D27), 10,
      IF(AND(OR(AND(B27&gt;D27, CS27&gt;CU27), AND(B27&lt;D27, CS27&lt;CU27), AND(B27=D27, CS27=CU27)), OR(CS27=B27, CU27=D27)), 7,
        IF(OR(AND(B27&gt;D27, CS27&gt;CU27), AND(B27&lt;D27, CS27&lt;CU27), AND(B27=D27, CS27=CU27)), 5,
          IF(OR(CS27=B27, CU27=D27), 2, 0)
        )
      )
    )
  )
)</f>
        <v>-</v>
      </c>
      <c r="CW27" s="170"/>
      <c r="CX27" s="175"/>
      <c r="CY27" s="16" t="s">
        <v>17</v>
      </c>
      <c r="CZ27" s="175"/>
      <c r="DA27" s="17" t="str">
        <f t="shared" ref="DA27:DA32" si="109">IF(OR(B27="", D27=""), "-",
  IF(OR(CX27="", CZ27=""), 0,
    IF(AND(CX27=B27, CZ27=D27), 10,
      IF(AND(OR(AND(B27&gt;D27, CX27&gt;CZ27), AND(B27&lt;D27, CX27&lt;CZ27), AND(B27=D27, CX27=CZ27)), OR(CX27=B27, CZ27=D27)), 7,
        IF(OR(AND(B27&gt;D27, CX27&gt;CZ27), AND(B27&lt;D27, CX27&lt;CZ27), AND(B27=D27, CX27=CZ27)), 5,
          IF(OR(CX27=B27, CZ27=D27), 2, 0)
        )
      )
    )
  )
)</f>
        <v>-</v>
      </c>
      <c r="DB27" s="170"/>
      <c r="DC27" s="175"/>
      <c r="DD27" s="16" t="s">
        <v>17</v>
      </c>
      <c r="DE27" s="175"/>
      <c r="DF27" s="17" t="str">
        <f t="shared" ref="DF27:DF32" si="110">IF(OR(B27="", D27=""), "-",
  IF(OR(DC27="", DE27=""), 0,
    IF(AND(DC27=B27, DE27=D27), 10,
      IF(AND(OR(AND(B27&gt;D27, DC27&gt;DE27), AND(B27&lt;D27, DC27&lt;DE27), AND(B27=D27, DC27=DE27)), OR(DC27=B27, DE27=D27)), 7,
        IF(OR(AND(B27&gt;D27, DC27&gt;DE27), AND(B27&lt;D27, DC27&lt;DE27), AND(B27=D27, DC27=DE27)), 5,
          IF(OR(DC27=B27, DE27=D27), 2, 0)
        )
      )
    )
  )
)</f>
        <v>-</v>
      </c>
      <c r="DG27" s="170"/>
      <c r="DH27" s="175"/>
      <c r="DI27" s="16" t="s">
        <v>17</v>
      </c>
      <c r="DJ27" s="175"/>
      <c r="DK27" s="17" t="str">
        <f t="shared" ref="DK27:DK32" si="111">IF(OR(B27="", D27=""), "-",
  IF(OR(DH27="", DJ27=""), 0,
    IF(AND(DH27=B27, DJ27=D27), 10,
      IF(AND(OR(AND(B27&gt;D27, DH27&gt;DJ27), AND(B27&lt;D27, DH27&lt;DJ27), AND(B27=D27, DH27=DJ27)), OR(DH27=B27, DJ27=D27)), 7,
        IF(OR(AND(B27&gt;D27, DH27&gt;DJ27), AND(B27&lt;D27, DH27&lt;DJ27), AND(B27=D27, DH27=DJ27)), 5,
          IF(OR(DH27=B27, DJ27=D27), 2, 0)
        )
      )
    )
  )
)</f>
        <v>-</v>
      </c>
      <c r="DL27" s="170"/>
      <c r="DM27" s="175"/>
      <c r="DN27" s="16" t="s">
        <v>17</v>
      </c>
      <c r="DO27" s="175"/>
      <c r="DP27" s="17" t="str">
        <f t="shared" ref="DP27:DP32" si="112">IF(OR(B27="", D27=""), "-",
  IF(OR(DM27="", DO27=""), 0,
    IF(AND(DM27=B27, DO27=D27), 10,
      IF(AND(OR(AND(B27&gt;D27, DM27&gt;DO27), AND(B27&lt;D27, DM27&lt;DO27), AND(B27=D27, DM27=DO27)), OR(DM27=B27, DO27=D27)), 7,
        IF(OR(AND(B27&gt;D27, DM27&gt;DO27), AND(B27&lt;D27, DM27&lt;DO27), AND(B27=D27, DM27=DO27)), 5,
          IF(OR(DM27=B27, DO27=D27), 2, 0)
        )
      )
    )
  )
)</f>
        <v>-</v>
      </c>
      <c r="DQ27" s="170"/>
      <c r="DR27" s="175"/>
      <c r="DS27" s="16" t="s">
        <v>17</v>
      </c>
      <c r="DT27" s="175"/>
      <c r="DU27" s="17" t="str">
        <f t="shared" ref="DU27:DU32" si="113">IF(OR(B27="", D27=""), "-",
  IF(OR(DR27="", DT27=""), 0,
    IF(AND(DR27=B27, DT27=D27), 10,
      IF(AND(OR(AND(B27&gt;D27, DR27&gt;DT27), AND(B27&lt;D27, DR27&lt;DT27), AND(B27=D27, DR27=DT27)), OR(DR27=B27, DT27=D27)), 7,
        IF(OR(AND(B27&gt;D27, DR27&gt;DT27), AND(B27&lt;D27, DR27&lt;DT27), AND(B27=D27, DR27=DT27)), 5,
          IF(OR(DR27=B27, DT27=D27), 2, 0)
        )
      )
    )
  )
)</f>
        <v>-</v>
      </c>
      <c r="DV27" s="170"/>
      <c r="DW27" s="175"/>
      <c r="DX27" s="16" t="s">
        <v>17</v>
      </c>
      <c r="DY27" s="175"/>
      <c r="DZ27" s="17" t="str">
        <f t="shared" ref="DZ27:DZ32" si="114">IF(OR(B27="", D27=""), "-",
  IF(OR(DW27="", DY27=""), 0,
    IF(AND(DW27=B27, DY27=D27), 10,
      IF(AND(OR(AND(B27&gt;D27, DW27&gt;DY27), AND(B27&lt;D27, DW27&lt;DY27), AND(B27=D27, DW27=DY27)), OR(DW27=B27, DY27=D27)), 7,
        IF(OR(AND(B27&gt;D27, DW27&gt;DY27), AND(B27&lt;D27, DW27&lt;DY27), AND(B27=D27, DW27=DY27)), 5,
          IF(OR(DW27=B27, DY27=D27), 2, 0)
        )
      )
    )
  )
)</f>
        <v>-</v>
      </c>
      <c r="EA27" s="166"/>
      <c r="EB27" s="175"/>
      <c r="EC27" s="16" t="s">
        <v>17</v>
      </c>
      <c r="ED27" s="175"/>
      <c r="EE27" s="17" t="str">
        <f t="shared" ref="EE27:EE32" si="115">IF(OR(B27="", D27=""), "-",
  IF(OR(EB27="", ED27=""), 0,
    IF(AND(EB27=B27, ED27=D27), 10,
      IF(AND(OR(AND(B27&gt;D27, EB27&gt;ED27), AND(B27&lt;D27, EB27&lt;ED27), AND(B27=D27, EB27=ED27)), OR(EB27=B27, ED27=D27)), 7,
        IF(OR(AND(B27&gt;D27, EB27&gt;ED27), AND(B27&lt;D27, EB27&lt;ED27), AND(B27=D27, EB27=ED27)), 5,
          IF(OR(EB27=B27, ED27=D27), 2, 0)
        )
      )
    )
  )
)</f>
        <v>-</v>
      </c>
      <c r="EF27" s="166"/>
      <c r="EG27" s="175"/>
      <c r="EH27" s="16" t="s">
        <v>17</v>
      </c>
      <c r="EI27" s="175"/>
      <c r="EJ27" s="17" t="str">
        <f t="shared" ref="EJ27:EJ32" si="116">IF(OR(B27="", D27=""), "-",
  IF(OR(EG27="", EI27=""), 0,
    IF(AND(EG27=B27, EI27=D27), 10,
      IF(AND(OR(AND(B27&gt;D27, EG27&gt;EI27), AND(B27&lt;D27, EG27&lt;EI27), AND(B27=D27, EG27=EI27)), OR(EG27=B27, EI27=D27)), 7,
        IF(OR(AND(B27&gt;D27, EG27&gt;EI27), AND(B27&lt;D27, EG27&lt;EI27), AND(B27=D27, EG27=EI27)), 5,
          IF(OR(EG27=B27, EI27=D27), 2, 0)
        )
      )
    )
  )
)</f>
        <v>-</v>
      </c>
      <c r="EK27" s="166"/>
      <c r="EL27" s="175"/>
      <c r="EM27" s="16" t="s">
        <v>17</v>
      </c>
      <c r="EN27" s="175"/>
      <c r="EO27" s="17" t="str">
        <f t="shared" ref="EO27:EO32" si="117">IF(OR(B27="", D27=""), "-",
  IF(OR(EL27="", EN27=""), 0,
    IF(AND(EL27=B27, EN27=D27), 10,
      IF(AND(OR(AND(B27&gt;D27, EL27&gt;EN27), AND(B27&lt;D27, EL27&lt;EN27), AND(B27=D27, EL27=EN27)), OR(EL27=B27, EN27=D27)), 7,
        IF(OR(AND(B27&gt;D27, EL27&gt;EN27), AND(B27&lt;D27, EL27&lt;EN27), AND(B27=D27, EL27=EN27)), 5,
          IF(OR(EL27=B27, EN27=D27), 2, 0)
        )
      )
    )
  )
)</f>
        <v>-</v>
      </c>
      <c r="EP27" s="166"/>
      <c r="EQ27" s="175"/>
      <c r="ER27" s="16" t="s">
        <v>17</v>
      </c>
      <c r="ES27" s="175"/>
      <c r="ET27" s="17" t="str">
        <f t="shared" ref="ET27:ET32" si="118">IF(OR(B27="", D27=""), "-",
  IF(OR(EQ27="", ES27=""), 0,
    IF(AND(EQ27=B27, ES27=D27), 10,
      IF(AND(OR(AND(B27&gt;D27, EQ27&gt;ES27), AND(B27&lt;D27, EQ27&lt;ES27), AND(B27=D27, EQ27=ES27)), OR(EQ27=B27, ES27=D27)), 7,
        IF(OR(AND(B27&gt;D27, EQ27&gt;ES27), AND(B27&lt;D27, EQ27&lt;ES27), AND(B27=D27, EQ27=ES27)), 5,
          IF(OR(EQ27=B27, ES27=D27), 2, 0)
        )
      )
    )
  )
)</f>
        <v>-</v>
      </c>
      <c r="EU27" s="166"/>
      <c r="EV27" s="15"/>
      <c r="EW27" s="174" t="s">
        <v>17</v>
      </c>
      <c r="EX27" s="15"/>
      <c r="EY27" s="19" t="str">
        <f t="shared" ref="EY27:EY32" si="119">IF(OR(B27="", D27=""), "-",
  IF(OR(EV27="", EX27=""), 0,
    IF(AND(EV27=B27, EX27=D27), 10,
      IF(AND(OR(AND(B27&gt;D27, EV27&gt;EX27), AND(B27&lt;D27, EV27&lt;EX27), AND(B27=D27, EV27=EX27)), OR(EV27=B27, EX27=D27)), 7,
        IF(OR(AND(B27&gt;D27, EV27&gt;EX27), AND(B27&lt;D27, EV27&lt;EX27), AND(B27=D27, EV27=EX27)), 5,
          IF(OR(EV27=B27, EX27=D27), 2, 0)
        )
      )
    )
  )
)</f>
        <v>-</v>
      </c>
      <c r="EZ27" s="166"/>
      <c r="FA27" s="8"/>
    </row>
    <row r="28" spans="1:157" ht="17.399999999999999">
      <c r="A28" s="73" t="s">
        <v>88</v>
      </c>
      <c r="B28" s="74"/>
      <c r="C28" s="75" t="s">
        <v>17</v>
      </c>
      <c r="D28" s="74"/>
      <c r="E28" s="73" t="s">
        <v>89</v>
      </c>
      <c r="F28" s="166"/>
      <c r="G28" s="202"/>
      <c r="H28" s="203" t="s">
        <v>17</v>
      </c>
      <c r="I28" s="202"/>
      <c r="J28" s="76" t="str">
        <f t="shared" si="90"/>
        <v>-</v>
      </c>
      <c r="K28" s="173"/>
      <c r="L28" s="202"/>
      <c r="M28" s="203" t="s">
        <v>17</v>
      </c>
      <c r="N28" s="202"/>
      <c r="O28" s="76" t="str">
        <f t="shared" si="91"/>
        <v>-</v>
      </c>
      <c r="P28" s="173"/>
      <c r="Q28" s="202"/>
      <c r="R28" s="203" t="s">
        <v>17</v>
      </c>
      <c r="S28" s="202"/>
      <c r="T28" s="76" t="str">
        <f t="shared" si="92"/>
        <v>-</v>
      </c>
      <c r="U28" s="173"/>
      <c r="V28" s="202"/>
      <c r="W28" s="203" t="s">
        <v>17</v>
      </c>
      <c r="X28" s="202"/>
      <c r="Y28" s="76" t="str">
        <f t="shared" si="93"/>
        <v>-</v>
      </c>
      <c r="Z28" s="173"/>
      <c r="AA28" s="202"/>
      <c r="AB28" s="203" t="s">
        <v>17</v>
      </c>
      <c r="AC28" s="202"/>
      <c r="AD28" s="76" t="str">
        <f t="shared" si="94"/>
        <v>-</v>
      </c>
      <c r="AE28" s="173"/>
      <c r="AF28" s="202"/>
      <c r="AG28" s="203" t="s">
        <v>17</v>
      </c>
      <c r="AH28" s="202"/>
      <c r="AI28" s="76" t="str">
        <f t="shared" si="95"/>
        <v>-</v>
      </c>
      <c r="AJ28" s="173"/>
      <c r="AK28" s="202"/>
      <c r="AL28" s="203" t="s">
        <v>17</v>
      </c>
      <c r="AM28" s="202"/>
      <c r="AN28" s="76" t="str">
        <f t="shared" si="96"/>
        <v>-</v>
      </c>
      <c r="AO28" s="173"/>
      <c r="AP28" s="202"/>
      <c r="AQ28" s="203" t="s">
        <v>17</v>
      </c>
      <c r="AR28" s="202"/>
      <c r="AS28" s="76" t="str">
        <f t="shared" si="97"/>
        <v>-</v>
      </c>
      <c r="AT28" s="173"/>
      <c r="AU28" s="202"/>
      <c r="AV28" s="203" t="s">
        <v>17</v>
      </c>
      <c r="AW28" s="202"/>
      <c r="AX28" s="76" t="str">
        <f t="shared" si="98"/>
        <v>-</v>
      </c>
      <c r="AY28" s="168"/>
      <c r="AZ28" s="202"/>
      <c r="BA28" s="203" t="s">
        <v>17</v>
      </c>
      <c r="BB28" s="202"/>
      <c r="BC28" s="76" t="str">
        <f t="shared" si="99"/>
        <v>-</v>
      </c>
      <c r="BD28" s="169"/>
      <c r="BE28" s="74"/>
      <c r="BF28" s="204" t="s">
        <v>17</v>
      </c>
      <c r="BG28" s="74"/>
      <c r="BH28" s="77" t="str">
        <f t="shared" si="100"/>
        <v>-</v>
      </c>
      <c r="BI28" s="169"/>
      <c r="BJ28" s="202"/>
      <c r="BK28" s="204" t="s">
        <v>17</v>
      </c>
      <c r="BL28" s="202"/>
      <c r="BM28" s="77" t="str">
        <f t="shared" si="101"/>
        <v>-</v>
      </c>
      <c r="BN28" s="169"/>
      <c r="BO28" s="202"/>
      <c r="BP28" s="204" t="s">
        <v>17</v>
      </c>
      <c r="BQ28" s="202"/>
      <c r="BR28" s="77" t="str">
        <f t="shared" si="102"/>
        <v>-</v>
      </c>
      <c r="BS28" s="169"/>
      <c r="BT28" s="202"/>
      <c r="BU28" s="204" t="s">
        <v>17</v>
      </c>
      <c r="BV28" s="202"/>
      <c r="BW28" s="77" t="str">
        <f t="shared" si="103"/>
        <v>-</v>
      </c>
      <c r="BX28" s="166"/>
      <c r="BY28" s="205"/>
      <c r="BZ28" s="203" t="s">
        <v>17</v>
      </c>
      <c r="CA28" s="205"/>
      <c r="CB28" s="76" t="str">
        <f t="shared" si="104"/>
        <v>-</v>
      </c>
      <c r="CC28" s="170"/>
      <c r="CD28" s="205"/>
      <c r="CE28" s="203" t="s">
        <v>17</v>
      </c>
      <c r="CF28" s="205"/>
      <c r="CG28" s="76" t="str">
        <f t="shared" si="105"/>
        <v>-</v>
      </c>
      <c r="CH28" s="170"/>
      <c r="CI28" s="205"/>
      <c r="CJ28" s="203" t="s">
        <v>17</v>
      </c>
      <c r="CK28" s="205"/>
      <c r="CL28" s="76" t="str">
        <f t="shared" si="106"/>
        <v>-</v>
      </c>
      <c r="CM28" s="170"/>
      <c r="CN28" s="205"/>
      <c r="CO28" s="203" t="s">
        <v>17</v>
      </c>
      <c r="CP28" s="205"/>
      <c r="CQ28" s="76" t="str">
        <f t="shared" si="107"/>
        <v>-</v>
      </c>
      <c r="CR28" s="170"/>
      <c r="CS28" s="205"/>
      <c r="CT28" s="203" t="s">
        <v>17</v>
      </c>
      <c r="CU28" s="205"/>
      <c r="CV28" s="76" t="str">
        <f t="shared" si="108"/>
        <v>-</v>
      </c>
      <c r="CW28" s="170"/>
      <c r="CX28" s="205"/>
      <c r="CY28" s="203" t="s">
        <v>17</v>
      </c>
      <c r="CZ28" s="205"/>
      <c r="DA28" s="76" t="str">
        <f t="shared" si="109"/>
        <v>-</v>
      </c>
      <c r="DB28" s="170"/>
      <c r="DC28" s="205"/>
      <c r="DD28" s="203" t="s">
        <v>17</v>
      </c>
      <c r="DE28" s="205"/>
      <c r="DF28" s="76" t="str">
        <f t="shared" si="110"/>
        <v>-</v>
      </c>
      <c r="DG28" s="170"/>
      <c r="DH28" s="205"/>
      <c r="DI28" s="203" t="s">
        <v>17</v>
      </c>
      <c r="DJ28" s="205"/>
      <c r="DK28" s="76" t="str">
        <f t="shared" si="111"/>
        <v>-</v>
      </c>
      <c r="DL28" s="170"/>
      <c r="DM28" s="205"/>
      <c r="DN28" s="203" t="s">
        <v>17</v>
      </c>
      <c r="DO28" s="205"/>
      <c r="DP28" s="76" t="str">
        <f t="shared" si="112"/>
        <v>-</v>
      </c>
      <c r="DQ28" s="170"/>
      <c r="DR28" s="205"/>
      <c r="DS28" s="203" t="s">
        <v>17</v>
      </c>
      <c r="DT28" s="205"/>
      <c r="DU28" s="76" t="str">
        <f t="shared" si="113"/>
        <v>-</v>
      </c>
      <c r="DV28" s="170"/>
      <c r="DW28" s="205"/>
      <c r="DX28" s="203" t="s">
        <v>17</v>
      </c>
      <c r="DY28" s="205"/>
      <c r="DZ28" s="76" t="str">
        <f t="shared" si="114"/>
        <v>-</v>
      </c>
      <c r="EA28" s="166"/>
      <c r="EB28" s="205"/>
      <c r="EC28" s="203" t="s">
        <v>17</v>
      </c>
      <c r="ED28" s="205"/>
      <c r="EE28" s="76" t="str">
        <f t="shared" si="115"/>
        <v>-</v>
      </c>
      <c r="EF28" s="166"/>
      <c r="EG28" s="205"/>
      <c r="EH28" s="203" t="s">
        <v>17</v>
      </c>
      <c r="EI28" s="205"/>
      <c r="EJ28" s="76" t="str">
        <f t="shared" si="116"/>
        <v>-</v>
      </c>
      <c r="EK28" s="166"/>
      <c r="EL28" s="205"/>
      <c r="EM28" s="203" t="s">
        <v>17</v>
      </c>
      <c r="EN28" s="205"/>
      <c r="EO28" s="76" t="str">
        <f t="shared" si="117"/>
        <v>-</v>
      </c>
      <c r="EP28" s="166"/>
      <c r="EQ28" s="205"/>
      <c r="ER28" s="203" t="s">
        <v>17</v>
      </c>
      <c r="ES28" s="205"/>
      <c r="ET28" s="76" t="str">
        <f t="shared" si="118"/>
        <v>-</v>
      </c>
      <c r="EU28" s="166"/>
      <c r="EV28" s="202"/>
      <c r="EW28" s="204" t="s">
        <v>17</v>
      </c>
      <c r="EX28" s="202"/>
      <c r="EY28" s="77" t="str">
        <f t="shared" si="119"/>
        <v>-</v>
      </c>
      <c r="EZ28" s="166"/>
      <c r="FA28" s="8"/>
    </row>
    <row r="29" spans="1:157" ht="17.399999999999999">
      <c r="A29" s="12" t="s">
        <v>89</v>
      </c>
      <c r="B29" s="13"/>
      <c r="C29" s="14" t="s">
        <v>17</v>
      </c>
      <c r="D29" s="13"/>
      <c r="E29" s="12" t="s">
        <v>87</v>
      </c>
      <c r="F29" s="166"/>
      <c r="G29" s="15"/>
      <c r="H29" s="16" t="s">
        <v>17</v>
      </c>
      <c r="I29" s="15"/>
      <c r="J29" s="17" t="str">
        <f t="shared" si="90"/>
        <v>-</v>
      </c>
      <c r="K29" s="173"/>
      <c r="L29" s="15"/>
      <c r="M29" s="16" t="s">
        <v>17</v>
      </c>
      <c r="N29" s="15"/>
      <c r="O29" s="17" t="str">
        <f t="shared" si="91"/>
        <v>-</v>
      </c>
      <c r="P29" s="173"/>
      <c r="Q29" s="15"/>
      <c r="R29" s="16" t="s">
        <v>17</v>
      </c>
      <c r="S29" s="15"/>
      <c r="T29" s="17" t="str">
        <f t="shared" si="92"/>
        <v>-</v>
      </c>
      <c r="U29" s="173"/>
      <c r="V29" s="15"/>
      <c r="W29" s="16" t="s">
        <v>17</v>
      </c>
      <c r="X29" s="15"/>
      <c r="Y29" s="17" t="str">
        <f t="shared" si="93"/>
        <v>-</v>
      </c>
      <c r="Z29" s="173"/>
      <c r="AA29" s="15"/>
      <c r="AB29" s="16" t="s">
        <v>17</v>
      </c>
      <c r="AC29" s="15"/>
      <c r="AD29" s="17" t="str">
        <f t="shared" si="94"/>
        <v>-</v>
      </c>
      <c r="AE29" s="173"/>
      <c r="AF29" s="15"/>
      <c r="AG29" s="16" t="s">
        <v>17</v>
      </c>
      <c r="AH29" s="15"/>
      <c r="AI29" s="17" t="str">
        <f t="shared" si="95"/>
        <v>-</v>
      </c>
      <c r="AJ29" s="173"/>
      <c r="AK29" s="15"/>
      <c r="AL29" s="16" t="s">
        <v>17</v>
      </c>
      <c r="AM29" s="15"/>
      <c r="AN29" s="17" t="str">
        <f t="shared" si="96"/>
        <v>-</v>
      </c>
      <c r="AO29" s="173"/>
      <c r="AP29" s="15"/>
      <c r="AQ29" s="16" t="s">
        <v>17</v>
      </c>
      <c r="AR29" s="15"/>
      <c r="AS29" s="17" t="str">
        <f t="shared" si="97"/>
        <v>-</v>
      </c>
      <c r="AT29" s="173"/>
      <c r="AU29" s="15"/>
      <c r="AV29" s="16" t="s">
        <v>17</v>
      </c>
      <c r="AW29" s="15"/>
      <c r="AX29" s="17" t="str">
        <f t="shared" si="98"/>
        <v>-</v>
      </c>
      <c r="AY29" s="168"/>
      <c r="AZ29" s="15"/>
      <c r="BA29" s="16" t="s">
        <v>17</v>
      </c>
      <c r="BB29" s="15"/>
      <c r="BC29" s="17" t="str">
        <f t="shared" si="99"/>
        <v>-</v>
      </c>
      <c r="BD29" s="169"/>
      <c r="BE29" s="13"/>
      <c r="BF29" s="174" t="s">
        <v>17</v>
      </c>
      <c r="BG29" s="13"/>
      <c r="BH29" s="19" t="str">
        <f t="shared" si="100"/>
        <v>-</v>
      </c>
      <c r="BI29" s="169"/>
      <c r="BJ29" s="15"/>
      <c r="BK29" s="174" t="s">
        <v>17</v>
      </c>
      <c r="BL29" s="15"/>
      <c r="BM29" s="19" t="str">
        <f t="shared" si="101"/>
        <v>-</v>
      </c>
      <c r="BN29" s="169"/>
      <c r="BO29" s="15"/>
      <c r="BP29" s="174" t="s">
        <v>17</v>
      </c>
      <c r="BQ29" s="15"/>
      <c r="BR29" s="19" t="str">
        <f t="shared" si="102"/>
        <v>-</v>
      </c>
      <c r="BS29" s="169"/>
      <c r="BT29" s="15"/>
      <c r="BU29" s="174" t="s">
        <v>17</v>
      </c>
      <c r="BV29" s="15"/>
      <c r="BW29" s="19" t="str">
        <f t="shared" si="103"/>
        <v>-</v>
      </c>
      <c r="BX29" s="166"/>
      <c r="BY29" s="175"/>
      <c r="BZ29" s="16" t="s">
        <v>17</v>
      </c>
      <c r="CA29" s="175"/>
      <c r="CB29" s="17" t="str">
        <f t="shared" si="104"/>
        <v>-</v>
      </c>
      <c r="CC29" s="170"/>
      <c r="CD29" s="175"/>
      <c r="CE29" s="16" t="s">
        <v>17</v>
      </c>
      <c r="CF29" s="175"/>
      <c r="CG29" s="17" t="str">
        <f t="shared" si="105"/>
        <v>-</v>
      </c>
      <c r="CH29" s="170"/>
      <c r="CI29" s="175"/>
      <c r="CJ29" s="16" t="s">
        <v>17</v>
      </c>
      <c r="CK29" s="175"/>
      <c r="CL29" s="17" t="str">
        <f t="shared" si="106"/>
        <v>-</v>
      </c>
      <c r="CM29" s="170"/>
      <c r="CN29" s="175"/>
      <c r="CO29" s="16" t="s">
        <v>17</v>
      </c>
      <c r="CP29" s="175"/>
      <c r="CQ29" s="17" t="str">
        <f t="shared" si="107"/>
        <v>-</v>
      </c>
      <c r="CR29" s="170"/>
      <c r="CS29" s="175"/>
      <c r="CT29" s="16" t="s">
        <v>17</v>
      </c>
      <c r="CU29" s="175"/>
      <c r="CV29" s="17" t="str">
        <f t="shared" si="108"/>
        <v>-</v>
      </c>
      <c r="CW29" s="170"/>
      <c r="CX29" s="175"/>
      <c r="CY29" s="16" t="s">
        <v>17</v>
      </c>
      <c r="CZ29" s="175"/>
      <c r="DA29" s="17" t="str">
        <f t="shared" si="109"/>
        <v>-</v>
      </c>
      <c r="DB29" s="170"/>
      <c r="DC29" s="175"/>
      <c r="DD29" s="16" t="s">
        <v>17</v>
      </c>
      <c r="DE29" s="175"/>
      <c r="DF29" s="17" t="str">
        <f t="shared" si="110"/>
        <v>-</v>
      </c>
      <c r="DG29" s="170"/>
      <c r="DH29" s="175"/>
      <c r="DI29" s="16" t="s">
        <v>17</v>
      </c>
      <c r="DJ29" s="175"/>
      <c r="DK29" s="17" t="str">
        <f t="shared" si="111"/>
        <v>-</v>
      </c>
      <c r="DL29" s="170"/>
      <c r="DM29" s="175"/>
      <c r="DN29" s="16" t="s">
        <v>17</v>
      </c>
      <c r="DO29" s="175"/>
      <c r="DP29" s="17" t="str">
        <f t="shared" si="112"/>
        <v>-</v>
      </c>
      <c r="DQ29" s="170"/>
      <c r="DR29" s="175"/>
      <c r="DS29" s="16" t="s">
        <v>17</v>
      </c>
      <c r="DT29" s="175"/>
      <c r="DU29" s="17" t="str">
        <f t="shared" si="113"/>
        <v>-</v>
      </c>
      <c r="DV29" s="170"/>
      <c r="DW29" s="175"/>
      <c r="DX29" s="16" t="s">
        <v>17</v>
      </c>
      <c r="DY29" s="175"/>
      <c r="DZ29" s="17" t="str">
        <f t="shared" si="114"/>
        <v>-</v>
      </c>
      <c r="EA29" s="166"/>
      <c r="EB29" s="175"/>
      <c r="EC29" s="16" t="s">
        <v>17</v>
      </c>
      <c r="ED29" s="175"/>
      <c r="EE29" s="17" t="str">
        <f t="shared" si="115"/>
        <v>-</v>
      </c>
      <c r="EF29" s="166"/>
      <c r="EG29" s="175"/>
      <c r="EH29" s="16" t="s">
        <v>17</v>
      </c>
      <c r="EI29" s="175"/>
      <c r="EJ29" s="17" t="str">
        <f t="shared" si="116"/>
        <v>-</v>
      </c>
      <c r="EK29" s="166"/>
      <c r="EL29" s="175"/>
      <c r="EM29" s="16" t="s">
        <v>17</v>
      </c>
      <c r="EN29" s="175"/>
      <c r="EO29" s="17" t="str">
        <f t="shared" si="117"/>
        <v>-</v>
      </c>
      <c r="EP29" s="166"/>
      <c r="EQ29" s="175"/>
      <c r="ER29" s="16" t="s">
        <v>17</v>
      </c>
      <c r="ES29" s="175"/>
      <c r="ET29" s="17" t="str">
        <f t="shared" si="118"/>
        <v>-</v>
      </c>
      <c r="EU29" s="166"/>
      <c r="EV29" s="15"/>
      <c r="EW29" s="174" t="s">
        <v>17</v>
      </c>
      <c r="EX29" s="15"/>
      <c r="EY29" s="19" t="str">
        <f t="shared" si="119"/>
        <v>-</v>
      </c>
      <c r="EZ29" s="166"/>
      <c r="FA29" s="8"/>
    </row>
    <row r="30" spans="1:157" ht="17.399999999999999">
      <c r="A30" s="73" t="s">
        <v>86</v>
      </c>
      <c r="B30" s="74"/>
      <c r="C30" s="75" t="s">
        <v>17</v>
      </c>
      <c r="D30" s="74"/>
      <c r="E30" s="73" t="s">
        <v>88</v>
      </c>
      <c r="F30" s="166"/>
      <c r="G30" s="206"/>
      <c r="H30" s="203" t="s">
        <v>17</v>
      </c>
      <c r="I30" s="206"/>
      <c r="J30" s="76" t="str">
        <f t="shared" si="90"/>
        <v>-</v>
      </c>
      <c r="K30" s="178"/>
      <c r="L30" s="206"/>
      <c r="M30" s="203" t="s">
        <v>17</v>
      </c>
      <c r="N30" s="206"/>
      <c r="O30" s="76" t="str">
        <f t="shared" si="91"/>
        <v>-</v>
      </c>
      <c r="P30" s="178"/>
      <c r="Q30" s="206"/>
      <c r="R30" s="203" t="s">
        <v>17</v>
      </c>
      <c r="S30" s="206"/>
      <c r="T30" s="76" t="str">
        <f t="shared" si="92"/>
        <v>-</v>
      </c>
      <c r="U30" s="178"/>
      <c r="V30" s="206"/>
      <c r="W30" s="203" t="s">
        <v>17</v>
      </c>
      <c r="X30" s="206"/>
      <c r="Y30" s="76" t="str">
        <f t="shared" si="93"/>
        <v>-</v>
      </c>
      <c r="Z30" s="178"/>
      <c r="AA30" s="206"/>
      <c r="AB30" s="203" t="s">
        <v>17</v>
      </c>
      <c r="AC30" s="206"/>
      <c r="AD30" s="76" t="str">
        <f t="shared" si="94"/>
        <v>-</v>
      </c>
      <c r="AE30" s="173"/>
      <c r="AF30" s="206"/>
      <c r="AG30" s="203" t="s">
        <v>17</v>
      </c>
      <c r="AH30" s="206"/>
      <c r="AI30" s="76" t="str">
        <f t="shared" si="95"/>
        <v>-</v>
      </c>
      <c r="AJ30" s="178"/>
      <c r="AK30" s="206"/>
      <c r="AL30" s="203" t="s">
        <v>17</v>
      </c>
      <c r="AM30" s="206"/>
      <c r="AN30" s="76" t="str">
        <f t="shared" si="96"/>
        <v>-</v>
      </c>
      <c r="AO30" s="178"/>
      <c r="AP30" s="206"/>
      <c r="AQ30" s="203" t="s">
        <v>17</v>
      </c>
      <c r="AR30" s="206"/>
      <c r="AS30" s="76" t="str">
        <f t="shared" si="97"/>
        <v>-</v>
      </c>
      <c r="AT30" s="173"/>
      <c r="AU30" s="206"/>
      <c r="AV30" s="203" t="s">
        <v>17</v>
      </c>
      <c r="AW30" s="206"/>
      <c r="AX30" s="76" t="str">
        <f t="shared" si="98"/>
        <v>-</v>
      </c>
      <c r="AY30" s="168"/>
      <c r="AZ30" s="206"/>
      <c r="BA30" s="203" t="s">
        <v>17</v>
      </c>
      <c r="BB30" s="206"/>
      <c r="BC30" s="76" t="str">
        <f t="shared" si="99"/>
        <v>-</v>
      </c>
      <c r="BD30" s="169"/>
      <c r="BE30" s="207"/>
      <c r="BF30" s="204" t="s">
        <v>17</v>
      </c>
      <c r="BG30" s="207"/>
      <c r="BH30" s="77" t="str">
        <f t="shared" si="100"/>
        <v>-</v>
      </c>
      <c r="BI30" s="169"/>
      <c r="BJ30" s="206"/>
      <c r="BK30" s="204" t="s">
        <v>17</v>
      </c>
      <c r="BL30" s="206"/>
      <c r="BM30" s="77" t="str">
        <f t="shared" si="101"/>
        <v>-</v>
      </c>
      <c r="BN30" s="169"/>
      <c r="BO30" s="206"/>
      <c r="BP30" s="204" t="s">
        <v>17</v>
      </c>
      <c r="BQ30" s="206"/>
      <c r="BR30" s="77" t="str">
        <f t="shared" si="102"/>
        <v>-</v>
      </c>
      <c r="BS30" s="169"/>
      <c r="BT30" s="206"/>
      <c r="BU30" s="204" t="s">
        <v>17</v>
      </c>
      <c r="BV30" s="206"/>
      <c r="BW30" s="77" t="str">
        <f t="shared" si="103"/>
        <v>-</v>
      </c>
      <c r="BX30" s="166"/>
      <c r="BY30" s="205"/>
      <c r="BZ30" s="203" t="s">
        <v>17</v>
      </c>
      <c r="CA30" s="205"/>
      <c r="CB30" s="76" t="str">
        <f t="shared" si="104"/>
        <v>-</v>
      </c>
      <c r="CC30" s="170"/>
      <c r="CD30" s="205"/>
      <c r="CE30" s="203" t="s">
        <v>17</v>
      </c>
      <c r="CF30" s="205"/>
      <c r="CG30" s="76" t="str">
        <f t="shared" si="105"/>
        <v>-</v>
      </c>
      <c r="CH30" s="170"/>
      <c r="CI30" s="205"/>
      <c r="CJ30" s="203" t="s">
        <v>17</v>
      </c>
      <c r="CK30" s="205"/>
      <c r="CL30" s="76" t="str">
        <f t="shared" si="106"/>
        <v>-</v>
      </c>
      <c r="CM30" s="170"/>
      <c r="CN30" s="205"/>
      <c r="CO30" s="203" t="s">
        <v>17</v>
      </c>
      <c r="CP30" s="205"/>
      <c r="CQ30" s="76" t="str">
        <f t="shared" si="107"/>
        <v>-</v>
      </c>
      <c r="CR30" s="170"/>
      <c r="CS30" s="205"/>
      <c r="CT30" s="203" t="s">
        <v>17</v>
      </c>
      <c r="CU30" s="205"/>
      <c r="CV30" s="76" t="str">
        <f t="shared" si="108"/>
        <v>-</v>
      </c>
      <c r="CW30" s="170"/>
      <c r="CX30" s="205"/>
      <c r="CY30" s="203" t="s">
        <v>17</v>
      </c>
      <c r="CZ30" s="205"/>
      <c r="DA30" s="76" t="str">
        <f t="shared" si="109"/>
        <v>-</v>
      </c>
      <c r="DB30" s="170"/>
      <c r="DC30" s="205"/>
      <c r="DD30" s="203" t="s">
        <v>17</v>
      </c>
      <c r="DE30" s="205"/>
      <c r="DF30" s="76" t="str">
        <f t="shared" si="110"/>
        <v>-</v>
      </c>
      <c r="DG30" s="170"/>
      <c r="DH30" s="205"/>
      <c r="DI30" s="203" t="s">
        <v>17</v>
      </c>
      <c r="DJ30" s="205"/>
      <c r="DK30" s="76" t="str">
        <f t="shared" si="111"/>
        <v>-</v>
      </c>
      <c r="DL30" s="170"/>
      <c r="DM30" s="205"/>
      <c r="DN30" s="203" t="s">
        <v>17</v>
      </c>
      <c r="DO30" s="205"/>
      <c r="DP30" s="76" t="str">
        <f t="shared" si="112"/>
        <v>-</v>
      </c>
      <c r="DQ30" s="170"/>
      <c r="DR30" s="205"/>
      <c r="DS30" s="203" t="s">
        <v>17</v>
      </c>
      <c r="DT30" s="205"/>
      <c r="DU30" s="76" t="str">
        <f t="shared" si="113"/>
        <v>-</v>
      </c>
      <c r="DV30" s="170"/>
      <c r="DW30" s="205"/>
      <c r="DX30" s="203" t="s">
        <v>17</v>
      </c>
      <c r="DY30" s="205"/>
      <c r="DZ30" s="76" t="str">
        <f t="shared" si="114"/>
        <v>-</v>
      </c>
      <c r="EA30" s="166"/>
      <c r="EB30" s="205"/>
      <c r="EC30" s="203" t="s">
        <v>17</v>
      </c>
      <c r="ED30" s="205"/>
      <c r="EE30" s="76" t="str">
        <f t="shared" si="115"/>
        <v>-</v>
      </c>
      <c r="EF30" s="166"/>
      <c r="EG30" s="205"/>
      <c r="EH30" s="203" t="s">
        <v>17</v>
      </c>
      <c r="EI30" s="205"/>
      <c r="EJ30" s="76" t="str">
        <f t="shared" si="116"/>
        <v>-</v>
      </c>
      <c r="EK30" s="166"/>
      <c r="EL30" s="205"/>
      <c r="EM30" s="203" t="s">
        <v>17</v>
      </c>
      <c r="EN30" s="205"/>
      <c r="EO30" s="76" t="str">
        <f t="shared" si="117"/>
        <v>-</v>
      </c>
      <c r="EP30" s="166"/>
      <c r="EQ30" s="205"/>
      <c r="ER30" s="203" t="s">
        <v>17</v>
      </c>
      <c r="ES30" s="205"/>
      <c r="ET30" s="76" t="str">
        <f t="shared" si="118"/>
        <v>-</v>
      </c>
      <c r="EU30" s="166"/>
      <c r="EV30" s="206"/>
      <c r="EW30" s="204" t="s">
        <v>17</v>
      </c>
      <c r="EX30" s="206"/>
      <c r="EY30" s="77" t="str">
        <f t="shared" si="119"/>
        <v>-</v>
      </c>
      <c r="EZ30" s="166"/>
      <c r="FA30" s="8"/>
    </row>
    <row r="31" spans="1:157" ht="17.399999999999999">
      <c r="A31" s="12" t="s">
        <v>87</v>
      </c>
      <c r="B31" s="13"/>
      <c r="C31" s="14" t="s">
        <v>17</v>
      </c>
      <c r="D31" s="13"/>
      <c r="E31" s="12" t="s">
        <v>88</v>
      </c>
      <c r="F31" s="166"/>
      <c r="G31" s="29"/>
      <c r="H31" s="16" t="s">
        <v>17</v>
      </c>
      <c r="I31" s="29"/>
      <c r="J31" s="17" t="str">
        <f t="shared" si="90"/>
        <v>-</v>
      </c>
      <c r="K31" s="178"/>
      <c r="L31" s="29"/>
      <c r="M31" s="16" t="s">
        <v>17</v>
      </c>
      <c r="N31" s="29"/>
      <c r="O31" s="17" t="str">
        <f t="shared" si="91"/>
        <v>-</v>
      </c>
      <c r="P31" s="178"/>
      <c r="Q31" s="29"/>
      <c r="R31" s="16" t="s">
        <v>17</v>
      </c>
      <c r="S31" s="29"/>
      <c r="T31" s="17" t="str">
        <f t="shared" si="92"/>
        <v>-</v>
      </c>
      <c r="U31" s="178"/>
      <c r="V31" s="29"/>
      <c r="W31" s="16" t="s">
        <v>17</v>
      </c>
      <c r="X31" s="29"/>
      <c r="Y31" s="17" t="str">
        <f t="shared" si="93"/>
        <v>-</v>
      </c>
      <c r="Z31" s="178"/>
      <c r="AA31" s="29"/>
      <c r="AB31" s="16" t="s">
        <v>17</v>
      </c>
      <c r="AC31" s="29"/>
      <c r="AD31" s="17" t="str">
        <f t="shared" si="94"/>
        <v>-</v>
      </c>
      <c r="AE31" s="173"/>
      <c r="AF31" s="29"/>
      <c r="AG31" s="16" t="s">
        <v>17</v>
      </c>
      <c r="AH31" s="29"/>
      <c r="AI31" s="17" t="str">
        <f t="shared" si="95"/>
        <v>-</v>
      </c>
      <c r="AJ31" s="178"/>
      <c r="AK31" s="29"/>
      <c r="AL31" s="16" t="s">
        <v>17</v>
      </c>
      <c r="AM31" s="29"/>
      <c r="AN31" s="17" t="str">
        <f t="shared" si="96"/>
        <v>-</v>
      </c>
      <c r="AO31" s="178"/>
      <c r="AP31" s="29"/>
      <c r="AQ31" s="16" t="s">
        <v>17</v>
      </c>
      <c r="AR31" s="29"/>
      <c r="AS31" s="17" t="str">
        <f t="shared" si="97"/>
        <v>-</v>
      </c>
      <c r="AT31" s="173"/>
      <c r="AU31" s="29"/>
      <c r="AV31" s="16" t="s">
        <v>17</v>
      </c>
      <c r="AW31" s="29"/>
      <c r="AX31" s="17" t="str">
        <f t="shared" si="98"/>
        <v>-</v>
      </c>
      <c r="AY31" s="168"/>
      <c r="AZ31" s="29"/>
      <c r="BA31" s="16" t="s">
        <v>17</v>
      </c>
      <c r="BB31" s="29"/>
      <c r="BC31" s="17" t="str">
        <f t="shared" si="99"/>
        <v>-</v>
      </c>
      <c r="BD31" s="169"/>
      <c r="BE31" s="199"/>
      <c r="BF31" s="174" t="s">
        <v>17</v>
      </c>
      <c r="BG31" s="199"/>
      <c r="BH31" s="19" t="str">
        <f t="shared" si="100"/>
        <v>-</v>
      </c>
      <c r="BI31" s="169"/>
      <c r="BJ31" s="29"/>
      <c r="BK31" s="174" t="s">
        <v>17</v>
      </c>
      <c r="BL31" s="29"/>
      <c r="BM31" s="19" t="str">
        <f t="shared" si="101"/>
        <v>-</v>
      </c>
      <c r="BN31" s="169"/>
      <c r="BO31" s="29"/>
      <c r="BP31" s="174" t="s">
        <v>17</v>
      </c>
      <c r="BQ31" s="29"/>
      <c r="BR31" s="19" t="str">
        <f t="shared" si="102"/>
        <v>-</v>
      </c>
      <c r="BS31" s="169"/>
      <c r="BT31" s="29"/>
      <c r="BU31" s="174" t="s">
        <v>17</v>
      </c>
      <c r="BV31" s="29"/>
      <c r="BW31" s="19" t="str">
        <f t="shared" si="103"/>
        <v>-</v>
      </c>
      <c r="BX31" s="166"/>
      <c r="BY31" s="175"/>
      <c r="BZ31" s="16" t="s">
        <v>17</v>
      </c>
      <c r="CA31" s="175"/>
      <c r="CB31" s="17" t="str">
        <f t="shared" si="104"/>
        <v>-</v>
      </c>
      <c r="CC31" s="170"/>
      <c r="CD31" s="175"/>
      <c r="CE31" s="16" t="s">
        <v>17</v>
      </c>
      <c r="CF31" s="175"/>
      <c r="CG31" s="17" t="str">
        <f t="shared" si="105"/>
        <v>-</v>
      </c>
      <c r="CH31" s="170"/>
      <c r="CI31" s="175"/>
      <c r="CJ31" s="16" t="s">
        <v>17</v>
      </c>
      <c r="CK31" s="175"/>
      <c r="CL31" s="17" t="str">
        <f t="shared" si="106"/>
        <v>-</v>
      </c>
      <c r="CM31" s="170"/>
      <c r="CN31" s="175"/>
      <c r="CO31" s="16" t="s">
        <v>17</v>
      </c>
      <c r="CP31" s="175"/>
      <c r="CQ31" s="17" t="str">
        <f t="shared" si="107"/>
        <v>-</v>
      </c>
      <c r="CR31" s="170"/>
      <c r="CS31" s="175"/>
      <c r="CT31" s="16" t="s">
        <v>17</v>
      </c>
      <c r="CU31" s="175"/>
      <c r="CV31" s="17" t="str">
        <f t="shared" si="108"/>
        <v>-</v>
      </c>
      <c r="CW31" s="170"/>
      <c r="CX31" s="175"/>
      <c r="CY31" s="16" t="s">
        <v>17</v>
      </c>
      <c r="CZ31" s="175"/>
      <c r="DA31" s="17" t="str">
        <f t="shared" si="109"/>
        <v>-</v>
      </c>
      <c r="DB31" s="170"/>
      <c r="DC31" s="175"/>
      <c r="DD31" s="16" t="s">
        <v>17</v>
      </c>
      <c r="DE31" s="175"/>
      <c r="DF31" s="17" t="str">
        <f t="shared" si="110"/>
        <v>-</v>
      </c>
      <c r="DG31" s="170"/>
      <c r="DH31" s="175"/>
      <c r="DI31" s="16" t="s">
        <v>17</v>
      </c>
      <c r="DJ31" s="175"/>
      <c r="DK31" s="17" t="str">
        <f t="shared" si="111"/>
        <v>-</v>
      </c>
      <c r="DL31" s="170"/>
      <c r="DM31" s="175"/>
      <c r="DN31" s="16" t="s">
        <v>17</v>
      </c>
      <c r="DO31" s="175"/>
      <c r="DP31" s="17" t="str">
        <f t="shared" si="112"/>
        <v>-</v>
      </c>
      <c r="DQ31" s="170"/>
      <c r="DR31" s="175"/>
      <c r="DS31" s="16" t="s">
        <v>17</v>
      </c>
      <c r="DT31" s="175"/>
      <c r="DU31" s="17" t="str">
        <f t="shared" si="113"/>
        <v>-</v>
      </c>
      <c r="DV31" s="170"/>
      <c r="DW31" s="175"/>
      <c r="DX31" s="16" t="s">
        <v>17</v>
      </c>
      <c r="DY31" s="175"/>
      <c r="DZ31" s="17" t="str">
        <f t="shared" si="114"/>
        <v>-</v>
      </c>
      <c r="EA31" s="166"/>
      <c r="EB31" s="175"/>
      <c r="EC31" s="16" t="s">
        <v>17</v>
      </c>
      <c r="ED31" s="175"/>
      <c r="EE31" s="17" t="str">
        <f t="shared" si="115"/>
        <v>-</v>
      </c>
      <c r="EF31" s="166"/>
      <c r="EG31" s="175"/>
      <c r="EH31" s="16" t="s">
        <v>17</v>
      </c>
      <c r="EI31" s="175"/>
      <c r="EJ31" s="17" t="str">
        <f t="shared" si="116"/>
        <v>-</v>
      </c>
      <c r="EK31" s="166"/>
      <c r="EL31" s="175"/>
      <c r="EM31" s="16" t="s">
        <v>17</v>
      </c>
      <c r="EN31" s="175"/>
      <c r="EO31" s="17" t="str">
        <f t="shared" si="117"/>
        <v>-</v>
      </c>
      <c r="EP31" s="166"/>
      <c r="EQ31" s="175"/>
      <c r="ER31" s="16" t="s">
        <v>17</v>
      </c>
      <c r="ES31" s="175"/>
      <c r="ET31" s="17" t="str">
        <f t="shared" si="118"/>
        <v>-</v>
      </c>
      <c r="EU31" s="166"/>
      <c r="EV31" s="29"/>
      <c r="EW31" s="174" t="s">
        <v>17</v>
      </c>
      <c r="EX31" s="29"/>
      <c r="EY31" s="19" t="str">
        <f t="shared" si="119"/>
        <v>-</v>
      </c>
      <c r="EZ31" s="166"/>
      <c r="FA31" s="8"/>
    </row>
    <row r="32" spans="1:157" ht="17.399999999999999">
      <c r="A32" s="73" t="s">
        <v>89</v>
      </c>
      <c r="B32" s="74"/>
      <c r="C32" s="75" t="s">
        <v>17</v>
      </c>
      <c r="D32" s="74"/>
      <c r="E32" s="73" t="s">
        <v>86</v>
      </c>
      <c r="F32" s="166"/>
      <c r="G32" s="206"/>
      <c r="H32" s="203" t="s">
        <v>17</v>
      </c>
      <c r="I32" s="206"/>
      <c r="J32" s="76" t="str">
        <f t="shared" si="90"/>
        <v>-</v>
      </c>
      <c r="K32" s="178"/>
      <c r="L32" s="206"/>
      <c r="M32" s="203" t="s">
        <v>17</v>
      </c>
      <c r="N32" s="206"/>
      <c r="O32" s="76" t="str">
        <f t="shared" si="91"/>
        <v>-</v>
      </c>
      <c r="P32" s="178"/>
      <c r="Q32" s="206"/>
      <c r="R32" s="203" t="s">
        <v>17</v>
      </c>
      <c r="S32" s="206"/>
      <c r="T32" s="76" t="str">
        <f t="shared" si="92"/>
        <v>-</v>
      </c>
      <c r="U32" s="178"/>
      <c r="V32" s="206"/>
      <c r="W32" s="203" t="s">
        <v>17</v>
      </c>
      <c r="X32" s="206"/>
      <c r="Y32" s="76" t="str">
        <f t="shared" si="93"/>
        <v>-</v>
      </c>
      <c r="Z32" s="178"/>
      <c r="AA32" s="206"/>
      <c r="AB32" s="203" t="s">
        <v>17</v>
      </c>
      <c r="AC32" s="206"/>
      <c r="AD32" s="76" t="str">
        <f t="shared" si="94"/>
        <v>-</v>
      </c>
      <c r="AE32" s="173"/>
      <c r="AF32" s="206"/>
      <c r="AG32" s="203" t="s">
        <v>17</v>
      </c>
      <c r="AH32" s="206"/>
      <c r="AI32" s="76" t="str">
        <f t="shared" si="95"/>
        <v>-</v>
      </c>
      <c r="AJ32" s="178"/>
      <c r="AK32" s="206"/>
      <c r="AL32" s="203" t="s">
        <v>17</v>
      </c>
      <c r="AM32" s="206"/>
      <c r="AN32" s="76" t="str">
        <f t="shared" si="96"/>
        <v>-</v>
      </c>
      <c r="AO32" s="178"/>
      <c r="AP32" s="206"/>
      <c r="AQ32" s="203" t="s">
        <v>17</v>
      </c>
      <c r="AR32" s="206"/>
      <c r="AS32" s="76" t="str">
        <f t="shared" si="97"/>
        <v>-</v>
      </c>
      <c r="AT32" s="173"/>
      <c r="AU32" s="206"/>
      <c r="AV32" s="203" t="s">
        <v>17</v>
      </c>
      <c r="AW32" s="206"/>
      <c r="AX32" s="76" t="str">
        <f t="shared" si="98"/>
        <v>-</v>
      </c>
      <c r="AY32" s="168"/>
      <c r="AZ32" s="206"/>
      <c r="BA32" s="203" t="s">
        <v>17</v>
      </c>
      <c r="BB32" s="206"/>
      <c r="BC32" s="76" t="str">
        <f t="shared" si="99"/>
        <v>-</v>
      </c>
      <c r="BD32" s="169"/>
      <c r="BE32" s="207"/>
      <c r="BF32" s="204" t="s">
        <v>17</v>
      </c>
      <c r="BG32" s="207"/>
      <c r="BH32" s="77" t="str">
        <f t="shared" si="100"/>
        <v>-</v>
      </c>
      <c r="BI32" s="169"/>
      <c r="BJ32" s="206"/>
      <c r="BK32" s="204" t="s">
        <v>17</v>
      </c>
      <c r="BL32" s="206"/>
      <c r="BM32" s="77" t="str">
        <f t="shared" si="101"/>
        <v>-</v>
      </c>
      <c r="BN32" s="169"/>
      <c r="BO32" s="206"/>
      <c r="BP32" s="204" t="s">
        <v>17</v>
      </c>
      <c r="BQ32" s="206"/>
      <c r="BR32" s="77" t="str">
        <f t="shared" si="102"/>
        <v>-</v>
      </c>
      <c r="BS32" s="169"/>
      <c r="BT32" s="206"/>
      <c r="BU32" s="204" t="s">
        <v>17</v>
      </c>
      <c r="BV32" s="206"/>
      <c r="BW32" s="77" t="str">
        <f t="shared" si="103"/>
        <v>-</v>
      </c>
      <c r="BX32" s="166"/>
      <c r="BY32" s="205"/>
      <c r="BZ32" s="203" t="s">
        <v>17</v>
      </c>
      <c r="CA32" s="205"/>
      <c r="CB32" s="76" t="str">
        <f t="shared" si="104"/>
        <v>-</v>
      </c>
      <c r="CC32" s="170"/>
      <c r="CD32" s="205"/>
      <c r="CE32" s="203" t="s">
        <v>17</v>
      </c>
      <c r="CF32" s="205"/>
      <c r="CG32" s="76" t="str">
        <f t="shared" si="105"/>
        <v>-</v>
      </c>
      <c r="CH32" s="170"/>
      <c r="CI32" s="205"/>
      <c r="CJ32" s="203" t="s">
        <v>17</v>
      </c>
      <c r="CK32" s="205"/>
      <c r="CL32" s="76" t="str">
        <f t="shared" si="106"/>
        <v>-</v>
      </c>
      <c r="CM32" s="170"/>
      <c r="CN32" s="205"/>
      <c r="CO32" s="203" t="s">
        <v>17</v>
      </c>
      <c r="CP32" s="205"/>
      <c r="CQ32" s="76" t="str">
        <f t="shared" si="107"/>
        <v>-</v>
      </c>
      <c r="CR32" s="170"/>
      <c r="CS32" s="205"/>
      <c r="CT32" s="203" t="s">
        <v>17</v>
      </c>
      <c r="CU32" s="205"/>
      <c r="CV32" s="76" t="str">
        <f t="shared" si="108"/>
        <v>-</v>
      </c>
      <c r="CW32" s="170"/>
      <c r="CX32" s="205"/>
      <c r="CY32" s="203" t="s">
        <v>17</v>
      </c>
      <c r="CZ32" s="205"/>
      <c r="DA32" s="76" t="str">
        <f t="shared" si="109"/>
        <v>-</v>
      </c>
      <c r="DB32" s="170"/>
      <c r="DC32" s="205"/>
      <c r="DD32" s="203" t="s">
        <v>17</v>
      </c>
      <c r="DE32" s="205"/>
      <c r="DF32" s="76" t="str">
        <f t="shared" si="110"/>
        <v>-</v>
      </c>
      <c r="DG32" s="170"/>
      <c r="DH32" s="205"/>
      <c r="DI32" s="203" t="s">
        <v>17</v>
      </c>
      <c r="DJ32" s="205"/>
      <c r="DK32" s="76" t="str">
        <f t="shared" si="111"/>
        <v>-</v>
      </c>
      <c r="DL32" s="170"/>
      <c r="DM32" s="205"/>
      <c r="DN32" s="203" t="s">
        <v>17</v>
      </c>
      <c r="DO32" s="205"/>
      <c r="DP32" s="76" t="str">
        <f t="shared" si="112"/>
        <v>-</v>
      </c>
      <c r="DQ32" s="170"/>
      <c r="DR32" s="205"/>
      <c r="DS32" s="203" t="s">
        <v>17</v>
      </c>
      <c r="DT32" s="205"/>
      <c r="DU32" s="76" t="str">
        <f t="shared" si="113"/>
        <v>-</v>
      </c>
      <c r="DV32" s="170"/>
      <c r="DW32" s="205"/>
      <c r="DX32" s="203" t="s">
        <v>17</v>
      </c>
      <c r="DY32" s="205"/>
      <c r="DZ32" s="76" t="str">
        <f t="shared" si="114"/>
        <v>-</v>
      </c>
      <c r="EA32" s="166"/>
      <c r="EB32" s="205"/>
      <c r="EC32" s="203" t="s">
        <v>17</v>
      </c>
      <c r="ED32" s="205"/>
      <c r="EE32" s="76" t="str">
        <f t="shared" si="115"/>
        <v>-</v>
      </c>
      <c r="EF32" s="166"/>
      <c r="EG32" s="205"/>
      <c r="EH32" s="203" t="s">
        <v>17</v>
      </c>
      <c r="EI32" s="205"/>
      <c r="EJ32" s="76" t="str">
        <f t="shared" si="116"/>
        <v>-</v>
      </c>
      <c r="EK32" s="166"/>
      <c r="EL32" s="205"/>
      <c r="EM32" s="203" t="s">
        <v>17</v>
      </c>
      <c r="EN32" s="205"/>
      <c r="EO32" s="76" t="str">
        <f t="shared" si="117"/>
        <v>-</v>
      </c>
      <c r="EP32" s="166"/>
      <c r="EQ32" s="205"/>
      <c r="ER32" s="203" t="s">
        <v>17</v>
      </c>
      <c r="ES32" s="205"/>
      <c r="ET32" s="76" t="str">
        <f t="shared" si="118"/>
        <v>-</v>
      </c>
      <c r="EU32" s="166"/>
      <c r="EV32" s="206"/>
      <c r="EW32" s="204" t="s">
        <v>17</v>
      </c>
      <c r="EX32" s="206"/>
      <c r="EY32" s="77" t="str">
        <f t="shared" si="119"/>
        <v>-</v>
      </c>
      <c r="EZ32" s="166"/>
      <c r="FA32" s="8"/>
    </row>
    <row r="33" spans="1:157" ht="17.399999999999999">
      <c r="A33" s="78"/>
      <c r="B33" s="78"/>
      <c r="C33" s="79"/>
      <c r="D33" s="78"/>
      <c r="E33" s="78"/>
      <c r="F33" s="166"/>
      <c r="G33" s="318">
        <f>SUM(J27:J32)</f>
        <v>0</v>
      </c>
      <c r="H33" s="301"/>
      <c r="I33" s="301"/>
      <c r="J33" s="179"/>
      <c r="K33" s="180"/>
      <c r="L33" s="318">
        <f>SUM(O27:O32)</f>
        <v>0</v>
      </c>
      <c r="M33" s="301"/>
      <c r="N33" s="301"/>
      <c r="O33" s="179"/>
      <c r="P33" s="180"/>
      <c r="Q33" s="318">
        <f>SUM(T27:T32)</f>
        <v>0</v>
      </c>
      <c r="R33" s="301"/>
      <c r="S33" s="301"/>
      <c r="T33" s="179"/>
      <c r="U33" s="180"/>
      <c r="V33" s="318">
        <f>SUM(Y27:Y32)</f>
        <v>0</v>
      </c>
      <c r="W33" s="301"/>
      <c r="X33" s="301"/>
      <c r="Y33" s="179"/>
      <c r="Z33" s="180"/>
      <c r="AA33" s="318">
        <f>SUM(AD27:AD32)</f>
        <v>0</v>
      </c>
      <c r="AB33" s="301"/>
      <c r="AC33" s="301"/>
      <c r="AD33" s="179"/>
      <c r="AE33" s="180"/>
      <c r="AF33" s="318">
        <f>SUM(AI27:AI32)</f>
        <v>0</v>
      </c>
      <c r="AG33" s="301"/>
      <c r="AH33" s="301"/>
      <c r="AI33" s="179"/>
      <c r="AJ33" s="180"/>
      <c r="AK33" s="318">
        <f>SUM(AN27:AN32)</f>
        <v>0</v>
      </c>
      <c r="AL33" s="301"/>
      <c r="AM33" s="301"/>
      <c r="AN33" s="179"/>
      <c r="AO33" s="180"/>
      <c r="AP33" s="318">
        <f>SUM(AS27:AS32)</f>
        <v>0</v>
      </c>
      <c r="AQ33" s="301"/>
      <c r="AR33" s="301"/>
      <c r="AS33" s="181"/>
      <c r="AT33" s="180"/>
      <c r="AU33" s="318">
        <f>SUM(AX27:AX32)</f>
        <v>0</v>
      </c>
      <c r="AV33" s="301"/>
      <c r="AW33" s="301"/>
      <c r="AX33" s="182"/>
      <c r="AY33" s="168"/>
      <c r="AZ33" s="318">
        <f>SUM(BC27:BC32)</f>
        <v>0</v>
      </c>
      <c r="BA33" s="301"/>
      <c r="BB33" s="301"/>
      <c r="BC33" s="182"/>
      <c r="BD33" s="169"/>
      <c r="BE33" s="318">
        <f>SUM(BH27:BH32)</f>
        <v>0</v>
      </c>
      <c r="BF33" s="301"/>
      <c r="BG33" s="301"/>
      <c r="BH33" s="182"/>
      <c r="BI33" s="169"/>
      <c r="BJ33" s="318">
        <f>SUM(BM27:BM32)</f>
        <v>0</v>
      </c>
      <c r="BK33" s="301"/>
      <c r="BL33" s="301"/>
      <c r="BM33" s="182"/>
      <c r="BN33" s="169"/>
      <c r="BO33" s="318">
        <f>SUM(BR27:BR32)</f>
        <v>0</v>
      </c>
      <c r="BP33" s="301"/>
      <c r="BQ33" s="301"/>
      <c r="BR33" s="182"/>
      <c r="BS33" s="169"/>
      <c r="BT33" s="318">
        <f>SUM(BW27:BW32)</f>
        <v>0</v>
      </c>
      <c r="BU33" s="301"/>
      <c r="BV33" s="301"/>
      <c r="BW33" s="182"/>
      <c r="BX33" s="166"/>
      <c r="BY33" s="318">
        <f>SUM(CB27:CB32)</f>
        <v>0</v>
      </c>
      <c r="BZ33" s="301"/>
      <c r="CA33" s="301"/>
      <c r="CB33" s="182"/>
      <c r="CC33" s="183"/>
      <c r="CD33" s="318">
        <f>SUM(CG27:CG32)</f>
        <v>0</v>
      </c>
      <c r="CE33" s="301"/>
      <c r="CF33" s="301"/>
      <c r="CG33" s="182"/>
      <c r="CH33" s="183"/>
      <c r="CI33" s="318">
        <f>SUM(CL27:CL32)</f>
        <v>0</v>
      </c>
      <c r="CJ33" s="301"/>
      <c r="CK33" s="301"/>
      <c r="CL33" s="182"/>
      <c r="CM33" s="183"/>
      <c r="CN33" s="318">
        <f>SUM(CQ27:CQ32)</f>
        <v>0</v>
      </c>
      <c r="CO33" s="301"/>
      <c r="CP33" s="301"/>
      <c r="CQ33" s="182"/>
      <c r="CR33" s="183"/>
      <c r="CS33" s="318">
        <f>SUM(CV27:CV32)</f>
        <v>0</v>
      </c>
      <c r="CT33" s="301"/>
      <c r="CU33" s="301"/>
      <c r="CV33" s="182"/>
      <c r="CW33" s="183"/>
      <c r="CX33" s="318">
        <f>SUM(DA27:DA32)</f>
        <v>0</v>
      </c>
      <c r="CY33" s="301"/>
      <c r="CZ33" s="301"/>
      <c r="DA33" s="182"/>
      <c r="DB33" s="183"/>
      <c r="DC33" s="318">
        <f>SUM(DF27:DF32)</f>
        <v>0</v>
      </c>
      <c r="DD33" s="301"/>
      <c r="DE33" s="301"/>
      <c r="DF33" s="182"/>
      <c r="DG33" s="183"/>
      <c r="DH33" s="318">
        <f>SUM(DK27:DK32)</f>
        <v>0</v>
      </c>
      <c r="DI33" s="301"/>
      <c r="DJ33" s="301"/>
      <c r="DK33" s="182"/>
      <c r="DL33" s="183"/>
      <c r="DM33" s="318">
        <f>SUM(DP27:DP32)</f>
        <v>0</v>
      </c>
      <c r="DN33" s="301"/>
      <c r="DO33" s="301"/>
      <c r="DP33" s="182"/>
      <c r="DQ33" s="183"/>
      <c r="DR33" s="318">
        <f>SUM(DU27:DU32)</f>
        <v>0</v>
      </c>
      <c r="DS33" s="301"/>
      <c r="DT33" s="301"/>
      <c r="DU33" s="182"/>
      <c r="DV33" s="183"/>
      <c r="DW33" s="318">
        <f>SUM(DZ27:DZ32)</f>
        <v>0</v>
      </c>
      <c r="DX33" s="301"/>
      <c r="DY33" s="301"/>
      <c r="DZ33" s="182"/>
      <c r="EA33" s="166"/>
      <c r="EB33" s="318">
        <f>SUM(EE27:EE32)</f>
        <v>0</v>
      </c>
      <c r="EC33" s="301"/>
      <c r="ED33" s="301"/>
      <c r="EE33" s="182"/>
      <c r="EF33" s="166"/>
      <c r="EG33" s="318">
        <f>SUM(EJ27:EJ32)</f>
        <v>0</v>
      </c>
      <c r="EH33" s="301"/>
      <c r="EI33" s="301"/>
      <c r="EJ33" s="182"/>
      <c r="EK33" s="166"/>
      <c r="EL33" s="318">
        <f>SUM(EO27:EO32)</f>
        <v>0</v>
      </c>
      <c r="EM33" s="301"/>
      <c r="EN33" s="301"/>
      <c r="EO33" s="182"/>
      <c r="EP33" s="166"/>
      <c r="EQ33" s="318">
        <f>SUM(ET27:ET32)</f>
        <v>0</v>
      </c>
      <c r="ER33" s="301"/>
      <c r="ES33" s="301"/>
      <c r="ET33" s="182"/>
      <c r="EU33" s="166"/>
      <c r="EV33" s="318">
        <f>SUM(EY27:EY32)</f>
        <v>0</v>
      </c>
      <c r="EW33" s="301"/>
      <c r="EX33" s="301"/>
      <c r="EY33" s="182"/>
      <c r="EZ33" s="166"/>
      <c r="FA33" s="8"/>
    </row>
    <row r="34" spans="1:157" ht="17.399999999999999">
      <c r="A34" s="330" t="s">
        <v>36</v>
      </c>
      <c r="B34" s="301"/>
      <c r="C34" s="301"/>
      <c r="D34" s="301"/>
      <c r="E34" s="301"/>
      <c r="F34" s="166"/>
      <c r="G34" s="330"/>
      <c r="H34" s="301"/>
      <c r="I34" s="301"/>
      <c r="J34" s="208"/>
      <c r="K34" s="167"/>
      <c r="L34" s="330"/>
      <c r="M34" s="301"/>
      <c r="N34" s="301"/>
      <c r="O34" s="208"/>
      <c r="P34" s="167"/>
      <c r="Q34" s="330"/>
      <c r="R34" s="301"/>
      <c r="S34" s="301"/>
      <c r="T34" s="208"/>
      <c r="U34" s="167"/>
      <c r="V34" s="330"/>
      <c r="W34" s="301"/>
      <c r="X34" s="301"/>
      <c r="Y34" s="208"/>
      <c r="Z34" s="167"/>
      <c r="AA34" s="330"/>
      <c r="AB34" s="301"/>
      <c r="AC34" s="301"/>
      <c r="AD34" s="208"/>
      <c r="AE34" s="167"/>
      <c r="AF34" s="330"/>
      <c r="AG34" s="301"/>
      <c r="AH34" s="301"/>
      <c r="AI34" s="208"/>
      <c r="AJ34" s="167"/>
      <c r="AK34" s="330"/>
      <c r="AL34" s="301"/>
      <c r="AM34" s="301"/>
      <c r="AN34" s="208"/>
      <c r="AO34" s="167"/>
      <c r="AP34" s="330"/>
      <c r="AQ34" s="301"/>
      <c r="AR34" s="301"/>
      <c r="AS34" s="208"/>
      <c r="AT34" s="167"/>
      <c r="AU34" s="330"/>
      <c r="AV34" s="301"/>
      <c r="AW34" s="301"/>
      <c r="AX34" s="208"/>
      <c r="AY34" s="168"/>
      <c r="AZ34" s="330"/>
      <c r="BA34" s="301"/>
      <c r="BB34" s="301"/>
      <c r="BC34" s="208"/>
      <c r="BD34" s="169"/>
      <c r="BE34" s="330"/>
      <c r="BF34" s="301"/>
      <c r="BG34" s="301"/>
      <c r="BH34" s="208"/>
      <c r="BI34" s="169"/>
      <c r="BJ34" s="330"/>
      <c r="BK34" s="301"/>
      <c r="BL34" s="301"/>
      <c r="BM34" s="208"/>
      <c r="BN34" s="169"/>
      <c r="BO34" s="330"/>
      <c r="BP34" s="301"/>
      <c r="BQ34" s="301"/>
      <c r="BR34" s="82"/>
      <c r="BS34" s="169"/>
      <c r="BT34" s="330"/>
      <c r="BU34" s="301"/>
      <c r="BV34" s="301"/>
      <c r="BW34" s="82"/>
      <c r="BX34" s="166"/>
      <c r="BY34" s="333"/>
      <c r="BZ34" s="301"/>
      <c r="CA34" s="301"/>
      <c r="CB34" s="209"/>
      <c r="CC34" s="170"/>
      <c r="CD34" s="333"/>
      <c r="CE34" s="301"/>
      <c r="CF34" s="301"/>
      <c r="CG34" s="209"/>
      <c r="CH34" s="170"/>
      <c r="CI34" s="333"/>
      <c r="CJ34" s="301"/>
      <c r="CK34" s="301"/>
      <c r="CL34" s="209"/>
      <c r="CM34" s="170"/>
      <c r="CN34" s="333"/>
      <c r="CO34" s="301"/>
      <c r="CP34" s="301"/>
      <c r="CQ34" s="209"/>
      <c r="CR34" s="170"/>
      <c r="CS34" s="333"/>
      <c r="CT34" s="301"/>
      <c r="CU34" s="301"/>
      <c r="CV34" s="209"/>
      <c r="CW34" s="170"/>
      <c r="CX34" s="333"/>
      <c r="CY34" s="301"/>
      <c r="CZ34" s="301"/>
      <c r="DA34" s="209"/>
      <c r="DB34" s="170"/>
      <c r="DC34" s="333"/>
      <c r="DD34" s="301"/>
      <c r="DE34" s="301"/>
      <c r="DF34" s="209"/>
      <c r="DG34" s="170"/>
      <c r="DH34" s="333"/>
      <c r="DI34" s="301"/>
      <c r="DJ34" s="301"/>
      <c r="DK34" s="209"/>
      <c r="DL34" s="170"/>
      <c r="DM34" s="333"/>
      <c r="DN34" s="301"/>
      <c r="DO34" s="301"/>
      <c r="DP34" s="82"/>
      <c r="DQ34" s="170"/>
      <c r="DR34" s="333"/>
      <c r="DS34" s="301"/>
      <c r="DT34" s="301"/>
      <c r="DU34" s="82"/>
      <c r="DV34" s="170"/>
      <c r="DW34" s="333"/>
      <c r="DX34" s="301"/>
      <c r="DY34" s="301"/>
      <c r="DZ34" s="82"/>
      <c r="EA34" s="166"/>
      <c r="EB34" s="333"/>
      <c r="EC34" s="301"/>
      <c r="ED34" s="301"/>
      <c r="EE34" s="88"/>
      <c r="EF34" s="166"/>
      <c r="EG34" s="333"/>
      <c r="EH34" s="301"/>
      <c r="EI34" s="301"/>
      <c r="EJ34" s="82"/>
      <c r="EK34" s="166"/>
      <c r="EL34" s="333"/>
      <c r="EM34" s="301"/>
      <c r="EN34" s="301"/>
      <c r="EO34" s="82"/>
      <c r="EP34" s="166"/>
      <c r="EQ34" s="333"/>
      <c r="ER34" s="301"/>
      <c r="ES34" s="301"/>
      <c r="ET34" s="82"/>
      <c r="EU34" s="166"/>
      <c r="EV34" s="330"/>
      <c r="EW34" s="301"/>
      <c r="EX34" s="301"/>
      <c r="EY34" s="82"/>
      <c r="EZ34" s="166"/>
      <c r="FA34" s="8"/>
    </row>
    <row r="35" spans="1:157" ht="17.399999999999999">
      <c r="A35" s="12" t="s">
        <v>90</v>
      </c>
      <c r="B35" s="13"/>
      <c r="C35" s="14" t="s">
        <v>17</v>
      </c>
      <c r="D35" s="13"/>
      <c r="E35" s="12" t="s">
        <v>91</v>
      </c>
      <c r="F35" s="166"/>
      <c r="G35" s="15"/>
      <c r="H35" s="16" t="s">
        <v>17</v>
      </c>
      <c r="I35" s="15"/>
      <c r="J35" s="17" t="str">
        <f t="shared" ref="J35:J40" si="120">IF(OR(B35="", D35=""), "-",
  IF(OR(G35="", I35=""), 0,
    IF(AND(G35=B35, I35=D35), 10,
      IF(AND(OR(AND(B35&gt;D35, G35&gt;I35), AND(B35&lt;D35, G35&lt;I35), AND(B35=D35, G35=I35)), OR(G35=B35, I35=D35)), 7,
        IF(OR(AND(B35&gt;D35, G35&gt;I35), AND(B35&lt;D35, G35&lt;I35), AND(B35=D35, G35=I35)), 5,
          IF(OR(G35=B35, I35=D35), 2, 0)
        )
      )
    )
  )
)</f>
        <v>-</v>
      </c>
      <c r="K35" s="173"/>
      <c r="L35" s="15"/>
      <c r="M35" s="16" t="s">
        <v>17</v>
      </c>
      <c r="N35" s="15"/>
      <c r="O35" s="17" t="str">
        <f t="shared" ref="O35:O40" si="121">IF(OR(B35="", D35=""), "-",
  IF(OR(L35="", N35=""), 0,
    IF(AND(L35=B35, N35=D35), 10,
      IF(AND(OR(AND(B35&gt;D35, L35&gt;N35), AND(B35&lt;D35, L35&lt;N35), AND(B35=D35, L35=N35)), OR(L35=B35, N35=D35)), 7,
        IF(OR(AND(B35&gt;D35, L35&gt;N35), AND(B35&lt;D35, L35&lt;N35), AND(B35=D35, L35=N35)), 5,
          IF(OR(L35=B35, N35=D35), 2, 0)
        )
      )
    )
  )
)</f>
        <v>-</v>
      </c>
      <c r="P35" s="173"/>
      <c r="Q35" s="15"/>
      <c r="R35" s="16" t="s">
        <v>17</v>
      </c>
      <c r="S35" s="15"/>
      <c r="T35" s="17" t="str">
        <f t="shared" ref="T35:T40" si="122">IF(OR(B35="", D35=""), "-",
  IF(OR(Q35="", S35=""), 0,
    IF(AND(Q35=B35, S35=D35), 10,
      IF(AND(OR(AND(B35&gt;D35, Q35&gt;S35), AND(B35&lt;D35, Q35&lt;S35), AND(B35=D35, Q35=S35)), OR(Q35=B35, S35=D35)), 7,
        IF(OR(AND(B35&gt;D35, Q35&gt;S35), AND(B35&lt;D35, Q35&lt;S35), AND(B35=D35, Q35=S35)), 5,
          IF(OR(Q35=B35, S35=D35), 2, 0)
        )
      )
    )
  )
)</f>
        <v>-</v>
      </c>
      <c r="U35" s="173"/>
      <c r="V35" s="15"/>
      <c r="W35" s="16" t="s">
        <v>17</v>
      </c>
      <c r="X35" s="15"/>
      <c r="Y35" s="17" t="str">
        <f t="shared" ref="Y35:Y40" si="123">IF(OR(B35="", D35=""), "-",
  IF(OR(V35="", X35=""), 0,
    IF(AND(V35=B35, X35=D35), 10,
      IF(AND(OR(AND(B35&gt;D35, V35&gt;X35), AND(B35&lt;D35, V35&lt;X35), AND(B35=D35, V35=X35)), OR(V35=B35, X35=D35)), 7,
        IF(OR(AND(B35&gt;D35, V35&gt;X35), AND(B35&lt;D35, V35&lt;X35), AND(B35=D35, V35=X35)), 5,
          IF(OR(V35=B35, X35=D35), 2, 0)
        )
      )
    )
  )
)</f>
        <v>-</v>
      </c>
      <c r="Z35" s="173"/>
      <c r="AA35" s="15"/>
      <c r="AB35" s="16" t="s">
        <v>17</v>
      </c>
      <c r="AC35" s="15"/>
      <c r="AD35" s="17" t="str">
        <f t="shared" ref="AD35:AD40" si="124">IF(OR(B35="", D35=""), "-",
  IF(OR(AA35="", AC35=""), 0,
    IF(AND(AA35=B35, AC35=D35), 10,
      IF(AND(OR(AND(B35&gt;D35, AA35&gt;AC35), AND(B35&lt;D35, AA35&lt;AC35), AND(B35=D35, AA35=AC35)), OR(AA35=B35, AC35=D35)), 7,
        IF(OR(AND(B35&gt;D35, AA35&gt;AC35), AND(B35&lt;D35, AA35&lt;AC35), AND(B35=D35, AA35=AC35)), 5,
          IF(OR(AA35=B35, AC35=D35), 2, 0)
        )
      )
    )
  )
)</f>
        <v>-</v>
      </c>
      <c r="AE35" s="173"/>
      <c r="AF35" s="15"/>
      <c r="AG35" s="16" t="s">
        <v>17</v>
      </c>
      <c r="AH35" s="15"/>
      <c r="AI35" s="17" t="str">
        <f t="shared" ref="AI35:AI40" si="125">IF(OR(B35="", D35=""), "-",
  IF(OR(AF35="", AH35=""), 0,
    IF(AND(AF35=B35, AH35=D35), 10,
      IF(AND(OR(AND(B35&gt;D35, AF35&gt;AH35), AND(B35&lt;D35, AF35&lt;AH35), AND(B35=D35, AF35=AH35)), OR(AF35=B35, AH35=D35)), 7,
        IF(OR(AND(B35&gt;D35, AF35&gt;AH35), AND(B35&lt;D35, AF35&lt;AH35), AND(B35=D35, AF35=AH35)), 5,
          IF(OR(AF35=B35, AH35=D35), 2, 0)
        )
      )
    )
  )
)</f>
        <v>-</v>
      </c>
      <c r="AJ35" s="173"/>
      <c r="AK35" s="15"/>
      <c r="AL35" s="16" t="s">
        <v>17</v>
      </c>
      <c r="AM35" s="15"/>
      <c r="AN35" s="17" t="str">
        <f t="shared" ref="AN35:AN40" si="126">IF(OR(B35="", D35=""), "-",
  IF(OR(AK35="", AM35=""), 0,
    IF(AND(AK35=B35, AM35=D35), 10,
      IF(AND(OR(AND(B35&gt;D35, AK35&gt;AM35), AND(B35&lt;D35, AK35&lt;AM35), AND(B35=D35, AK35=AM35)), OR(AK35=B35, AM35=D35)), 7,
        IF(OR(AND(B35&gt;D35, AK35&gt;AM35), AND(B35&lt;D35, AK35&lt;AM35), AND(B35=D35, AK35=AM35)), 5,
          IF(OR(AK35=B35, AM35=D35), 2, 0)
        )
      )
    )
  )
)</f>
        <v>-</v>
      </c>
      <c r="AO35" s="173"/>
      <c r="AP35" s="15"/>
      <c r="AQ35" s="16" t="s">
        <v>17</v>
      </c>
      <c r="AR35" s="15"/>
      <c r="AS35" s="17" t="str">
        <f t="shared" ref="AS35:AS40" si="127">IF(OR(B35="", D35=""), "-",
  IF(OR(AP35="", AR35=""), 0,
    IF(AND(AP35=B35, AR35=D35), 10,
      IF(AND(OR(AND(B35&gt;D35, AP35&gt;AR35), AND(B35&lt;D35, AP35&lt;AR35), AND(B35=D35, AP35=AR35)), OR(AP35=B35, AR35=D35)), 7,
        IF(OR(AND(B35&gt;D35, AP35&gt;AR35), AND(B35&lt;D35, AP35&lt;AR35), AND(B35=D35, AP35=AR35)), 5,
          IF(OR(AP35=B35, AR35=D35), 2, 0)
        )
      )
    )
  )
)</f>
        <v>-</v>
      </c>
      <c r="AT35" s="173"/>
      <c r="AU35" s="15"/>
      <c r="AV35" s="16" t="s">
        <v>17</v>
      </c>
      <c r="AW35" s="15"/>
      <c r="AX35" s="17" t="str">
        <f t="shared" ref="AX35:AX40" si="128">IF(OR(B35="", D35=""), "-",
  IF(OR(AU35="", AW35=""), 0,
    IF(AND(AU35=B35, AW35=D35), 10,
      IF(AND(OR(AND(B35&gt;D35, AU35&gt;AW35), AND(B35&lt;D35, AU35&lt;AW35), AND(B35=D35, AU35=AW35)), OR(AU35=B35, AW35=D35)), 7,
        IF(OR(AND(B35&gt;D35, AU35&gt;AW35), AND(B35&lt;D35, AU35&lt;AW35), AND(B35=D35, AU35=AW35)), 5,
          IF(OR(AU35=B35, AW35=D35), 2, 0)
        )
      )
    )
  )
)</f>
        <v>-</v>
      </c>
      <c r="AY35" s="168"/>
      <c r="AZ35" s="15"/>
      <c r="BA35" s="16" t="s">
        <v>17</v>
      </c>
      <c r="BB35" s="15"/>
      <c r="BC35" s="17" t="str">
        <f t="shared" ref="BC35:BC40" si="129">IF(OR(B35="", D35=""), "-",
  IF(OR(AZ35="", BB35=""), 0,
    IF(AND(AZ35=B35, BB35=D35), 10,
      IF(AND(OR(AND(B35&gt;D35, AZ35&gt;BB35), AND(B35&lt;D35, AZ35&lt;BB35), AND(B35=D35, AZ35=BB35)), OR(AZ35=B35, BB35=D35)), 7,
        IF(OR(AND(B35&gt;D35, AZ35&gt;BB35), AND(B35&lt;D35, AZ35&lt;BB35), AND(B35=D35, AZ35=BB35)), 5,
          IF(OR(AZ35=B35, BB35=D35), 2, 0)
        )
      )
    )
  )
)</f>
        <v>-</v>
      </c>
      <c r="BD35" s="169"/>
      <c r="BE35" s="13"/>
      <c r="BF35" s="174" t="s">
        <v>17</v>
      </c>
      <c r="BG35" s="13"/>
      <c r="BH35" s="19" t="str">
        <f t="shared" ref="BH35:BH40" si="130">IF(OR(B35="", D35=""), "-",
  IF(OR(BE35="", BG35=""), 0,
    IF(AND(BE35=B35, BG35=D35), 10,
      IF(AND(OR(AND(B35&gt;D35, BE35&gt;BG35), AND(B35&lt;D35, BE35&lt;BG35), AND(B35=D35, BE35=BG35)), OR(BE35=B35, BG35=D35)), 7,
        IF(OR(AND(B35&gt;D35, BE35&gt;BG35), AND(B35&lt;D35, BE35&lt;BG35), AND(B35=D35, BE35=BG35)), 5,
          IF(OR(BE35=B35, BG35=D35), 2, 0)
        )
      )
    )
  )
)</f>
        <v>-</v>
      </c>
      <c r="BI35" s="169"/>
      <c r="BJ35" s="13"/>
      <c r="BK35" s="174" t="s">
        <v>17</v>
      </c>
      <c r="BL35" s="13"/>
      <c r="BM35" s="19" t="str">
        <f t="shared" ref="BM35:BM40" si="131">IF(OR(B35="", D35=""), "-",
  IF(OR(BJ35="", BL35=""), 0,
    IF(AND(BJ35=B35, BL35=D35), 10,
      IF(AND(OR(AND(B35&gt;D35, BJ35&gt;BL35), AND(B35&lt;D35, BJ35&lt;BL35), AND(B35=D35, BJ35=BL35)), OR(BJ35=B35, BL35=D35)), 7,
        IF(OR(AND(B35&gt;D35, BJ35&gt;BL35), AND(B35&lt;D35, BJ35&lt;BL35), AND(B35=D35, BJ35=BL35)), 5,
          IF(OR(BJ35=B35, BL35=D35), 2, 0)
        )
      )
    )
  )
)</f>
        <v>-</v>
      </c>
      <c r="BN35" s="169"/>
      <c r="BO35" s="13"/>
      <c r="BP35" s="174" t="s">
        <v>17</v>
      </c>
      <c r="BQ35" s="13"/>
      <c r="BR35" s="19" t="str">
        <f t="shared" ref="BR35:BR40" si="132">IF(OR(B35="", D35=""), "-",
  IF(OR(BO35="", BQ35=""), 0,
    IF(AND(BO35=B35, BQ35=D35), 10,
      IF(AND(OR(AND(B35&gt;D35, BO35&gt;BQ35), AND(B35&lt;D35, BO35&lt;BQ35), AND(B35=D35, BO35=BQ35)), OR(BO35=B35, BQ35=D35)), 7,
        IF(OR(AND(B35&gt;D35, BO35&gt;BQ35), AND(B35&lt;D35, BO35&lt;BQ35), AND(B35=D35, BO35=BQ35)), 5,
          IF(OR(BO35=B35, BQ35=D35), 2, 0)
        )
      )
    )
  )
)</f>
        <v>-</v>
      </c>
      <c r="BS35" s="169"/>
      <c r="BT35" s="13"/>
      <c r="BU35" s="174" t="s">
        <v>17</v>
      </c>
      <c r="BV35" s="13"/>
      <c r="BW35" s="19" t="str">
        <f t="shared" ref="BW35:BW40" si="133">IF(OR(B35="", D35=""), "-",
  IF(OR(BT35="", BV35=""), 0,
    IF(AND(BT35=B35, BV35=D35), 10,
      IF(AND(OR(AND(B35&gt;D35, BT35&gt;BV35), AND(B35&lt;D35, BT35&lt;BV35), AND(B35=D35, BT35=BV35)), OR(BT35=B35, BV35=D35)), 7,
        IF(OR(AND(B35&gt;D35, BT35&gt;BV35), AND(B35&lt;D35, BT35&lt;BV35), AND(B35=D35, BT35=BV35)), 5,
          IF(OR(BT35=B35, BV35=D35), 2, 0)
        )
      )
    )
  )
)</f>
        <v>-</v>
      </c>
      <c r="BX35" s="166"/>
      <c r="BY35" s="175"/>
      <c r="BZ35" s="16" t="s">
        <v>17</v>
      </c>
      <c r="CA35" s="175"/>
      <c r="CB35" s="17" t="str">
        <f t="shared" ref="CB35:CB40" si="134">IF(OR(B35="", D35=""), "-",
  IF(OR(BY35="", CA35=""), 0,
    IF(AND(BY35=B35, CA35=D35), 10,
      IF(AND(OR(AND(B35&gt;D35, BY35&gt;CA35), AND(B35&lt;D35, BY35&lt;CA35), AND(B35=D35, BY35=CA35)), OR(BY35=B35, CA35=D35)), 7,
        IF(OR(AND(B35&gt;D35, BY35&gt;CA35), AND(B35&lt;D35, BY35&lt;CA35), AND(B35=D35, BY35=CA35)), 5,
          IF(OR(BY35=B35, CA35=D35), 2, 0)
        )
      )
    )
  )
)</f>
        <v>-</v>
      </c>
      <c r="CC35" s="170"/>
      <c r="CD35" s="175"/>
      <c r="CE35" s="16" t="s">
        <v>17</v>
      </c>
      <c r="CF35" s="175"/>
      <c r="CG35" s="17" t="str">
        <f t="shared" ref="CG35:CG40" si="135">IF(OR(B35="", D35=""), "-",
  IF(OR(CD35="", CF35=""), 0,
    IF(AND(CD35=B35, CF35=D35), 10,
      IF(AND(OR(AND(B35&gt;D35, CD35&gt;CF35), AND(B35&lt;D35, CD35&lt;CF35), AND(B35=D35, CD35=CF35)), OR(CD35=B35, CF35=D35)), 7,
        IF(OR(AND(B35&gt;D35, CD35&gt;CF35), AND(B35&lt;D35, CD35&lt;CF35), AND(B35=D35, CD35=CF35)), 5,
          IF(OR(CD35=B35, CF35=D35), 2, 0)
        )
      )
    )
  )
)</f>
        <v>-</v>
      </c>
      <c r="CH35" s="170"/>
      <c r="CI35" s="175"/>
      <c r="CJ35" s="16" t="s">
        <v>17</v>
      </c>
      <c r="CK35" s="175"/>
      <c r="CL35" s="17" t="str">
        <f t="shared" ref="CL35:CL40" si="136">IF(OR(B35="", D35=""), "-",
  IF(OR(CI35="", CK35=""), 0,
    IF(AND(CI35=B35, CK35=D35), 10,
      IF(AND(OR(AND(B35&gt;D35, CI35&gt;CK35), AND(B35&lt;D35, CI35&lt;CK35), AND(B35=D35, CI35=CK35)), OR(CI35=B35, CK35=D35)), 7,
        IF(OR(AND(B35&gt;D35, CI35&gt;CK35), AND(B35&lt;D35, CI35&lt;CK35), AND(B35=D35, CI35=CK35)), 5,
          IF(OR(CI35=B35, CK35=D35), 2, 0)
        )
      )
    )
  )
)</f>
        <v>-</v>
      </c>
      <c r="CM35" s="170"/>
      <c r="CN35" s="175"/>
      <c r="CO35" s="16" t="s">
        <v>17</v>
      </c>
      <c r="CP35" s="175"/>
      <c r="CQ35" s="17" t="str">
        <f t="shared" ref="CQ35:CQ40" si="137">IF(OR(B35="", D35=""), "-",
  IF(OR(CN35="", CP35=""), 0,
    IF(AND(CN35=B35, CP35=D35), 10,
      IF(AND(OR(AND(B35&gt;D35, CN35&gt;CP35), AND(B35&lt;D35, CN35&lt;CP35), AND(B35=D35, CN35=CP35)), OR(CN35=B35, CP35=D35)), 7,
        IF(OR(AND(B35&gt;D35, CN35&gt;CP35), AND(B35&lt;D35, CN35&lt;CP35), AND(B35=D35, CN35=CP35)), 5,
          IF(OR(CN35=B35, CP35=D35), 2, 0)
        )
      )
    )
  )
)</f>
        <v>-</v>
      </c>
      <c r="CR35" s="170"/>
      <c r="CS35" s="175"/>
      <c r="CT35" s="16" t="s">
        <v>17</v>
      </c>
      <c r="CU35" s="175"/>
      <c r="CV35" s="17" t="str">
        <f t="shared" ref="CV35:CV40" si="138">IF(OR(B35="", D35=""), "-",
  IF(OR(CS35="", CU35=""), 0,
    IF(AND(CS35=B35, CU35=D35), 10,
      IF(AND(OR(AND(B35&gt;D35, CS35&gt;CU35), AND(B35&lt;D35, CS35&lt;CU35), AND(B35=D35, CS35=CU35)), OR(CS35=B35, CU35=D35)), 7,
        IF(OR(AND(B35&gt;D35, CS35&gt;CU35), AND(B35&lt;D35, CS35&lt;CU35), AND(B35=D35, CS35=CU35)), 5,
          IF(OR(CS35=B35, CU35=D35), 2, 0)
        )
      )
    )
  )
)</f>
        <v>-</v>
      </c>
      <c r="CW35" s="170"/>
      <c r="CX35" s="175"/>
      <c r="CY35" s="16" t="s">
        <v>17</v>
      </c>
      <c r="CZ35" s="175"/>
      <c r="DA35" s="17" t="str">
        <f t="shared" ref="DA35:DA40" si="139">IF(OR(B35="", D35=""), "-",
  IF(OR(CX35="", CZ35=""), 0,
    IF(AND(CX35=B35, CZ35=D35), 10,
      IF(AND(OR(AND(B35&gt;D35, CX35&gt;CZ35), AND(B35&lt;D35, CX35&lt;CZ35), AND(B35=D35, CX35=CZ35)), OR(CX35=B35, CZ35=D35)), 7,
        IF(OR(AND(B35&gt;D35, CX35&gt;CZ35), AND(B35&lt;D35, CX35&lt;CZ35), AND(B35=D35, CX35=CZ35)), 5,
          IF(OR(CX35=B35, CZ35=D35), 2, 0)
        )
      )
    )
  )
)</f>
        <v>-</v>
      </c>
      <c r="DB35" s="170"/>
      <c r="DC35" s="175"/>
      <c r="DD35" s="16" t="s">
        <v>17</v>
      </c>
      <c r="DE35" s="175"/>
      <c r="DF35" s="17" t="str">
        <f t="shared" ref="DF35:DF40" si="140">IF(OR(B35="", D35=""), "-",
  IF(OR(DC35="", DE35=""), 0,
    IF(AND(DC35=B35, DE35=D35), 10,
      IF(AND(OR(AND(B35&gt;D35, DC35&gt;DE35), AND(B35&lt;D35, DC35&lt;DE35), AND(B35=D35, DC35=DE35)), OR(DC35=B35, DE35=D35)), 7,
        IF(OR(AND(B35&gt;D35, DC35&gt;DE35), AND(B35&lt;D35, DC35&lt;DE35), AND(B35=D35, DC35=DE35)), 5,
          IF(OR(DC35=B35, DE35=D35), 2, 0)
        )
      )
    )
  )
)</f>
        <v>-</v>
      </c>
      <c r="DG35" s="170"/>
      <c r="DH35" s="175"/>
      <c r="DI35" s="16" t="s">
        <v>17</v>
      </c>
      <c r="DJ35" s="175"/>
      <c r="DK35" s="17" t="str">
        <f t="shared" ref="DK35:DK40" si="141">IF(OR(B35="", D35=""), "-",
  IF(OR(DH35="", DJ35=""), 0,
    IF(AND(DH35=B35, DJ35=D35), 10,
      IF(AND(OR(AND(B35&gt;D35, DH35&gt;DJ35), AND(B35&lt;D35, DH35&lt;DJ35), AND(B35=D35, DH35=DJ35)), OR(DH35=B35, DJ35=D35)), 7,
        IF(OR(AND(B35&gt;D35, DH35&gt;DJ35), AND(B35&lt;D35, DH35&lt;DJ35), AND(B35=D35, DH35=DJ35)), 5,
          IF(OR(DH35=B35, DJ35=D35), 2, 0)
        )
      )
    )
  )
)</f>
        <v>-</v>
      </c>
      <c r="DL35" s="170"/>
      <c r="DM35" s="175"/>
      <c r="DN35" s="16" t="s">
        <v>17</v>
      </c>
      <c r="DO35" s="175"/>
      <c r="DP35" s="17" t="str">
        <f t="shared" ref="DP35:DP40" si="142">IF(OR(B35="", D35=""), "-",
  IF(OR(DM35="", DO35=""), 0,
    IF(AND(DM35=B35, DO35=D35), 10,
      IF(AND(OR(AND(B35&gt;D35, DM35&gt;DO35), AND(B35&lt;D35, DM35&lt;DO35), AND(B35=D35, DM35=DO35)), OR(DM35=B35, DO35=D35)), 7,
        IF(OR(AND(B35&gt;D35, DM35&gt;DO35), AND(B35&lt;D35, DM35&lt;DO35), AND(B35=D35, DM35=DO35)), 5,
          IF(OR(DM35=B35, DO35=D35), 2, 0)
        )
      )
    )
  )
)</f>
        <v>-</v>
      </c>
      <c r="DQ35" s="170"/>
      <c r="DR35" s="175"/>
      <c r="DS35" s="16" t="s">
        <v>17</v>
      </c>
      <c r="DT35" s="175"/>
      <c r="DU35" s="17" t="str">
        <f t="shared" ref="DU35:DU40" si="143">IF(OR(B35="", D35=""), "-",
  IF(OR(DR35="", DT35=""), 0,
    IF(AND(DR35=B35, DT35=D35), 10,
      IF(AND(OR(AND(B35&gt;D35, DR35&gt;DT35), AND(B35&lt;D35, DR35&lt;DT35), AND(B35=D35, DR35=DT35)), OR(DR35=B35, DT35=D35)), 7,
        IF(OR(AND(B35&gt;D35, DR35&gt;DT35), AND(B35&lt;D35, DR35&lt;DT35), AND(B35=D35, DR35=DT35)), 5,
          IF(OR(DR35=B35, DT35=D35), 2, 0)
        )
      )
    )
  )
)</f>
        <v>-</v>
      </c>
      <c r="DV35" s="170"/>
      <c r="DW35" s="175"/>
      <c r="DX35" s="16" t="s">
        <v>17</v>
      </c>
      <c r="DY35" s="175"/>
      <c r="DZ35" s="17" t="str">
        <f t="shared" ref="DZ35:DZ40" si="144">IF(OR(B35="", D35=""), "-",
  IF(OR(DW35="", DY35=""), 0,
    IF(AND(DW35=B35, DY35=D35), 10,
      IF(AND(OR(AND(B35&gt;D35, DW35&gt;DY35), AND(B35&lt;D35, DW35&lt;DY35), AND(B35=D35, DW35=DY35)), OR(DW35=B35, DY35=D35)), 7,
        IF(OR(AND(B35&gt;D35, DW35&gt;DY35), AND(B35&lt;D35, DW35&lt;DY35), AND(B35=D35, DW35=DY35)), 5,
          IF(OR(DW35=B35, DY35=D35), 2, 0)
        )
      )
    )
  )
)</f>
        <v>-</v>
      </c>
      <c r="EA35" s="166"/>
      <c r="EB35" s="175"/>
      <c r="EC35" s="16" t="s">
        <v>17</v>
      </c>
      <c r="ED35" s="175"/>
      <c r="EE35" s="17" t="str">
        <f t="shared" ref="EE35:EE40" si="145">IF(OR(B35="", D35=""), "-",
  IF(OR(EB35="", ED35=""), 0,
    IF(AND(EB35=B35, ED35=D35), 10,
      IF(AND(OR(AND(B35&gt;D35, EB35&gt;ED35), AND(B35&lt;D35, EB35&lt;ED35), AND(B35=D35, EB35=ED35)), OR(EB35=B35, ED35=D35)), 7,
        IF(OR(AND(B35&gt;D35, EB35&gt;ED35), AND(B35&lt;D35, EB35&lt;ED35), AND(B35=D35, EB35=ED35)), 5,
          IF(OR(EB35=B35, ED35=D35), 2, 0)
        )
      )
    )
  )
)</f>
        <v>-</v>
      </c>
      <c r="EF35" s="166"/>
      <c r="EG35" s="175"/>
      <c r="EH35" s="16" t="s">
        <v>17</v>
      </c>
      <c r="EI35" s="175"/>
      <c r="EJ35" s="17" t="str">
        <f t="shared" ref="EJ35:EJ40" si="146">IF(OR(B35="", D35=""), "-",
  IF(OR(EG35="", EI35=""), 0,
    IF(AND(EG35=B35, EI35=D35), 10,
      IF(AND(OR(AND(B35&gt;D35, EG35&gt;EI35), AND(B35&lt;D35, EG35&lt;EI35), AND(B35=D35, EG35=EI35)), OR(EG35=B35, EI35=D35)), 7,
        IF(OR(AND(B35&gt;D35, EG35&gt;EI35), AND(B35&lt;D35, EG35&lt;EI35), AND(B35=D35, EG35=EI35)), 5,
          IF(OR(EG35=B35, EI35=D35), 2, 0)
        )
      )
    )
  )
)</f>
        <v>-</v>
      </c>
      <c r="EK35" s="166"/>
      <c r="EL35" s="175"/>
      <c r="EM35" s="16" t="s">
        <v>17</v>
      </c>
      <c r="EN35" s="175"/>
      <c r="EO35" s="17" t="str">
        <f t="shared" ref="EO35:EO40" si="147">IF(OR(B35="", D35=""), "-",
  IF(OR(EL35="", EN35=""), 0,
    IF(AND(EL35=B35, EN35=D35), 10,
      IF(AND(OR(AND(B35&gt;D35, EL35&gt;EN35), AND(B35&lt;D35, EL35&lt;EN35), AND(B35=D35, EL35=EN35)), OR(EL35=B35, EN35=D35)), 7,
        IF(OR(AND(B35&gt;D35, EL35&gt;EN35), AND(B35&lt;D35, EL35&lt;EN35), AND(B35=D35, EL35=EN35)), 5,
          IF(OR(EL35=B35, EN35=D35), 2, 0)
        )
      )
    )
  )
)</f>
        <v>-</v>
      </c>
      <c r="EP35" s="166"/>
      <c r="EQ35" s="175"/>
      <c r="ER35" s="16" t="s">
        <v>17</v>
      </c>
      <c r="ES35" s="175"/>
      <c r="ET35" s="17" t="str">
        <f t="shared" ref="ET35:ET40" si="148">IF(OR(B35="", D35=""), "-",
  IF(OR(EQ35="", ES35=""), 0,
    IF(AND(EQ35=B35, ES35=D35), 10,
      IF(AND(OR(AND(B35&gt;D35, EQ35&gt;ES35), AND(B35&lt;D35, EQ35&lt;ES35), AND(B35=D35, EQ35=ES35)), OR(EQ35=B35, ES35=D35)), 7,
        IF(OR(AND(B35&gt;D35, EQ35&gt;ES35), AND(B35&lt;D35, EQ35&lt;ES35), AND(B35=D35, EQ35=ES35)), 5,
          IF(OR(EQ35=B35, ES35=D35), 2, 0)
        )
      )
    )
  )
)</f>
        <v>-</v>
      </c>
      <c r="EU35" s="166"/>
      <c r="EV35" s="13"/>
      <c r="EW35" s="174" t="s">
        <v>17</v>
      </c>
      <c r="EX35" s="13"/>
      <c r="EY35" s="19" t="str">
        <f t="shared" ref="EY35:EY40" si="149">IF(OR(B35="", D35=""), "-",
  IF(OR(EV35="", EX35=""), 0,
    IF(AND(EV35=B35, EX35=D35), 10,
      IF(AND(OR(AND(B35&gt;D35, EV35&gt;EX35), AND(B35&lt;D35, EV35&lt;EX35), AND(B35=D35, EV35=EX35)), OR(EV35=B35, EX35=D35)), 7,
        IF(OR(AND(B35&gt;D35, EV35&gt;EX35), AND(B35&lt;D35, EV35&lt;EX35), AND(B35=D35, EV35=EX35)), 5,
          IF(OR(EV35=B35, EX35=D35), 2, 0)
        )
      )
    )
  )
)</f>
        <v>-</v>
      </c>
      <c r="EZ35" s="166"/>
      <c r="FA35" s="8"/>
    </row>
    <row r="36" spans="1:157" ht="17.399999999999999">
      <c r="A36" s="89" t="s">
        <v>92</v>
      </c>
      <c r="B36" s="90"/>
      <c r="C36" s="91" t="s">
        <v>17</v>
      </c>
      <c r="D36" s="90"/>
      <c r="E36" s="89" t="s">
        <v>93</v>
      </c>
      <c r="F36" s="166"/>
      <c r="G36" s="210"/>
      <c r="H36" s="211" t="s">
        <v>17</v>
      </c>
      <c r="I36" s="210"/>
      <c r="J36" s="92" t="str">
        <f t="shared" si="120"/>
        <v>-</v>
      </c>
      <c r="K36" s="173"/>
      <c r="L36" s="210"/>
      <c r="M36" s="211" t="s">
        <v>17</v>
      </c>
      <c r="N36" s="210"/>
      <c r="O36" s="92" t="str">
        <f t="shared" si="121"/>
        <v>-</v>
      </c>
      <c r="P36" s="173"/>
      <c r="Q36" s="210"/>
      <c r="R36" s="211" t="s">
        <v>17</v>
      </c>
      <c r="S36" s="210"/>
      <c r="T36" s="92" t="str">
        <f t="shared" si="122"/>
        <v>-</v>
      </c>
      <c r="U36" s="173"/>
      <c r="V36" s="210"/>
      <c r="W36" s="211" t="s">
        <v>17</v>
      </c>
      <c r="X36" s="210"/>
      <c r="Y36" s="92" t="str">
        <f t="shared" si="123"/>
        <v>-</v>
      </c>
      <c r="Z36" s="173"/>
      <c r="AA36" s="210"/>
      <c r="AB36" s="211" t="s">
        <v>17</v>
      </c>
      <c r="AC36" s="210"/>
      <c r="AD36" s="92" t="str">
        <f t="shared" si="124"/>
        <v>-</v>
      </c>
      <c r="AE36" s="173"/>
      <c r="AF36" s="210"/>
      <c r="AG36" s="211" t="s">
        <v>17</v>
      </c>
      <c r="AH36" s="210"/>
      <c r="AI36" s="92" t="str">
        <f t="shared" si="125"/>
        <v>-</v>
      </c>
      <c r="AJ36" s="173"/>
      <c r="AK36" s="210"/>
      <c r="AL36" s="211" t="s">
        <v>17</v>
      </c>
      <c r="AM36" s="210"/>
      <c r="AN36" s="92" t="str">
        <f t="shared" si="126"/>
        <v>-</v>
      </c>
      <c r="AO36" s="173"/>
      <c r="AP36" s="210"/>
      <c r="AQ36" s="211" t="s">
        <v>17</v>
      </c>
      <c r="AR36" s="210"/>
      <c r="AS36" s="92" t="str">
        <f t="shared" si="127"/>
        <v>-</v>
      </c>
      <c r="AT36" s="173"/>
      <c r="AU36" s="210"/>
      <c r="AV36" s="211" t="s">
        <v>17</v>
      </c>
      <c r="AW36" s="210"/>
      <c r="AX36" s="92" t="str">
        <f t="shared" si="128"/>
        <v>-</v>
      </c>
      <c r="AY36" s="168"/>
      <c r="AZ36" s="210"/>
      <c r="BA36" s="211" t="s">
        <v>17</v>
      </c>
      <c r="BB36" s="210"/>
      <c r="BC36" s="92" t="str">
        <f t="shared" si="129"/>
        <v>-</v>
      </c>
      <c r="BD36" s="169"/>
      <c r="BE36" s="90"/>
      <c r="BF36" s="212" t="s">
        <v>17</v>
      </c>
      <c r="BG36" s="90"/>
      <c r="BH36" s="93" t="str">
        <f t="shared" si="130"/>
        <v>-</v>
      </c>
      <c r="BI36" s="169"/>
      <c r="BJ36" s="90"/>
      <c r="BK36" s="212" t="s">
        <v>17</v>
      </c>
      <c r="BL36" s="90"/>
      <c r="BM36" s="93" t="str">
        <f t="shared" si="131"/>
        <v>-</v>
      </c>
      <c r="BN36" s="169"/>
      <c r="BO36" s="90"/>
      <c r="BP36" s="212" t="s">
        <v>17</v>
      </c>
      <c r="BQ36" s="90"/>
      <c r="BR36" s="93" t="str">
        <f t="shared" si="132"/>
        <v>-</v>
      </c>
      <c r="BS36" s="169"/>
      <c r="BT36" s="90"/>
      <c r="BU36" s="212" t="s">
        <v>17</v>
      </c>
      <c r="BV36" s="90"/>
      <c r="BW36" s="93" t="str">
        <f t="shared" si="133"/>
        <v>-</v>
      </c>
      <c r="BX36" s="166"/>
      <c r="BY36" s="213"/>
      <c r="BZ36" s="211" t="s">
        <v>17</v>
      </c>
      <c r="CA36" s="213"/>
      <c r="CB36" s="92" t="str">
        <f t="shared" si="134"/>
        <v>-</v>
      </c>
      <c r="CC36" s="170"/>
      <c r="CD36" s="213"/>
      <c r="CE36" s="211" t="s">
        <v>17</v>
      </c>
      <c r="CF36" s="213"/>
      <c r="CG36" s="92" t="str">
        <f t="shared" si="135"/>
        <v>-</v>
      </c>
      <c r="CH36" s="170"/>
      <c r="CI36" s="213"/>
      <c r="CJ36" s="211" t="s">
        <v>17</v>
      </c>
      <c r="CK36" s="213"/>
      <c r="CL36" s="92" t="str">
        <f t="shared" si="136"/>
        <v>-</v>
      </c>
      <c r="CM36" s="170"/>
      <c r="CN36" s="213"/>
      <c r="CO36" s="211" t="s">
        <v>17</v>
      </c>
      <c r="CP36" s="213"/>
      <c r="CQ36" s="92" t="str">
        <f t="shared" si="137"/>
        <v>-</v>
      </c>
      <c r="CR36" s="170"/>
      <c r="CS36" s="213"/>
      <c r="CT36" s="211" t="s">
        <v>17</v>
      </c>
      <c r="CU36" s="213"/>
      <c r="CV36" s="92" t="str">
        <f t="shared" si="138"/>
        <v>-</v>
      </c>
      <c r="CW36" s="170"/>
      <c r="CX36" s="213"/>
      <c r="CY36" s="211" t="s">
        <v>17</v>
      </c>
      <c r="CZ36" s="213"/>
      <c r="DA36" s="92" t="str">
        <f t="shared" si="139"/>
        <v>-</v>
      </c>
      <c r="DB36" s="170"/>
      <c r="DC36" s="213"/>
      <c r="DD36" s="211" t="s">
        <v>17</v>
      </c>
      <c r="DE36" s="213"/>
      <c r="DF36" s="92" t="str">
        <f t="shared" si="140"/>
        <v>-</v>
      </c>
      <c r="DG36" s="170"/>
      <c r="DH36" s="213"/>
      <c r="DI36" s="211" t="s">
        <v>17</v>
      </c>
      <c r="DJ36" s="213"/>
      <c r="DK36" s="92" t="str">
        <f t="shared" si="141"/>
        <v>-</v>
      </c>
      <c r="DL36" s="170"/>
      <c r="DM36" s="213"/>
      <c r="DN36" s="211" t="s">
        <v>17</v>
      </c>
      <c r="DO36" s="213"/>
      <c r="DP36" s="92" t="str">
        <f t="shared" si="142"/>
        <v>-</v>
      </c>
      <c r="DQ36" s="170"/>
      <c r="DR36" s="213"/>
      <c r="DS36" s="211" t="s">
        <v>17</v>
      </c>
      <c r="DT36" s="213"/>
      <c r="DU36" s="92" t="str">
        <f t="shared" si="143"/>
        <v>-</v>
      </c>
      <c r="DV36" s="170"/>
      <c r="DW36" s="213"/>
      <c r="DX36" s="211" t="s">
        <v>17</v>
      </c>
      <c r="DY36" s="213"/>
      <c r="DZ36" s="92" t="str">
        <f t="shared" si="144"/>
        <v>-</v>
      </c>
      <c r="EA36" s="166"/>
      <c r="EB36" s="213"/>
      <c r="EC36" s="211" t="s">
        <v>17</v>
      </c>
      <c r="ED36" s="213"/>
      <c r="EE36" s="92" t="str">
        <f t="shared" si="145"/>
        <v>-</v>
      </c>
      <c r="EF36" s="166"/>
      <c r="EG36" s="213"/>
      <c r="EH36" s="211" t="s">
        <v>17</v>
      </c>
      <c r="EI36" s="213"/>
      <c r="EJ36" s="92" t="str">
        <f t="shared" si="146"/>
        <v>-</v>
      </c>
      <c r="EK36" s="166"/>
      <c r="EL36" s="213"/>
      <c r="EM36" s="211" t="s">
        <v>17</v>
      </c>
      <c r="EN36" s="213"/>
      <c r="EO36" s="92" t="str">
        <f t="shared" si="147"/>
        <v>-</v>
      </c>
      <c r="EP36" s="166"/>
      <c r="EQ36" s="213"/>
      <c r="ER36" s="211" t="s">
        <v>17</v>
      </c>
      <c r="ES36" s="213"/>
      <c r="ET36" s="92" t="str">
        <f t="shared" si="148"/>
        <v>-</v>
      </c>
      <c r="EU36" s="166"/>
      <c r="EV36" s="90"/>
      <c r="EW36" s="212" t="s">
        <v>17</v>
      </c>
      <c r="EX36" s="90"/>
      <c r="EY36" s="93" t="str">
        <f t="shared" si="149"/>
        <v>-</v>
      </c>
      <c r="EZ36" s="166"/>
      <c r="FA36" s="8"/>
    </row>
    <row r="37" spans="1:157" ht="17.399999999999999">
      <c r="A37" s="12" t="s">
        <v>90</v>
      </c>
      <c r="B37" s="13"/>
      <c r="C37" s="14" t="s">
        <v>17</v>
      </c>
      <c r="D37" s="13"/>
      <c r="E37" s="12" t="s">
        <v>92</v>
      </c>
      <c r="F37" s="166"/>
      <c r="G37" s="15"/>
      <c r="H37" s="16" t="s">
        <v>17</v>
      </c>
      <c r="I37" s="15"/>
      <c r="J37" s="17" t="str">
        <f t="shared" si="120"/>
        <v>-</v>
      </c>
      <c r="K37" s="173"/>
      <c r="L37" s="15"/>
      <c r="M37" s="16" t="s">
        <v>17</v>
      </c>
      <c r="N37" s="15"/>
      <c r="O37" s="17" t="str">
        <f t="shared" si="121"/>
        <v>-</v>
      </c>
      <c r="P37" s="173"/>
      <c r="Q37" s="15"/>
      <c r="R37" s="16" t="s">
        <v>17</v>
      </c>
      <c r="S37" s="15"/>
      <c r="T37" s="17" t="str">
        <f t="shared" si="122"/>
        <v>-</v>
      </c>
      <c r="U37" s="173"/>
      <c r="V37" s="15"/>
      <c r="W37" s="16" t="s">
        <v>17</v>
      </c>
      <c r="X37" s="15"/>
      <c r="Y37" s="17" t="str">
        <f t="shared" si="123"/>
        <v>-</v>
      </c>
      <c r="Z37" s="173"/>
      <c r="AA37" s="15"/>
      <c r="AB37" s="16" t="s">
        <v>17</v>
      </c>
      <c r="AC37" s="15"/>
      <c r="AD37" s="17" t="str">
        <f t="shared" si="124"/>
        <v>-</v>
      </c>
      <c r="AE37" s="173"/>
      <c r="AF37" s="15"/>
      <c r="AG37" s="16" t="s">
        <v>17</v>
      </c>
      <c r="AH37" s="15"/>
      <c r="AI37" s="17" t="str">
        <f t="shared" si="125"/>
        <v>-</v>
      </c>
      <c r="AJ37" s="173"/>
      <c r="AK37" s="15"/>
      <c r="AL37" s="16" t="s">
        <v>17</v>
      </c>
      <c r="AM37" s="15"/>
      <c r="AN37" s="17" t="str">
        <f t="shared" si="126"/>
        <v>-</v>
      </c>
      <c r="AO37" s="173"/>
      <c r="AP37" s="15"/>
      <c r="AQ37" s="16" t="s">
        <v>17</v>
      </c>
      <c r="AR37" s="15"/>
      <c r="AS37" s="17" t="str">
        <f t="shared" si="127"/>
        <v>-</v>
      </c>
      <c r="AT37" s="173"/>
      <c r="AU37" s="15"/>
      <c r="AV37" s="16" t="s">
        <v>17</v>
      </c>
      <c r="AW37" s="15"/>
      <c r="AX37" s="17" t="str">
        <f t="shared" si="128"/>
        <v>-</v>
      </c>
      <c r="AY37" s="168"/>
      <c r="AZ37" s="15"/>
      <c r="BA37" s="16" t="s">
        <v>17</v>
      </c>
      <c r="BB37" s="15"/>
      <c r="BC37" s="17" t="str">
        <f t="shared" si="129"/>
        <v>-</v>
      </c>
      <c r="BD37" s="169"/>
      <c r="BE37" s="13"/>
      <c r="BF37" s="174" t="s">
        <v>17</v>
      </c>
      <c r="BG37" s="13"/>
      <c r="BH37" s="19" t="str">
        <f t="shared" si="130"/>
        <v>-</v>
      </c>
      <c r="BI37" s="169"/>
      <c r="BJ37" s="13"/>
      <c r="BK37" s="174" t="s">
        <v>17</v>
      </c>
      <c r="BL37" s="13"/>
      <c r="BM37" s="19" t="str">
        <f t="shared" si="131"/>
        <v>-</v>
      </c>
      <c r="BN37" s="169"/>
      <c r="BO37" s="13"/>
      <c r="BP37" s="174" t="s">
        <v>17</v>
      </c>
      <c r="BQ37" s="13"/>
      <c r="BR37" s="19" t="str">
        <f t="shared" si="132"/>
        <v>-</v>
      </c>
      <c r="BS37" s="169"/>
      <c r="BT37" s="13"/>
      <c r="BU37" s="174" t="s">
        <v>17</v>
      </c>
      <c r="BV37" s="13"/>
      <c r="BW37" s="19" t="str">
        <f t="shared" si="133"/>
        <v>-</v>
      </c>
      <c r="BX37" s="166"/>
      <c r="BY37" s="175"/>
      <c r="BZ37" s="16" t="s">
        <v>17</v>
      </c>
      <c r="CA37" s="175"/>
      <c r="CB37" s="17" t="str">
        <f t="shared" si="134"/>
        <v>-</v>
      </c>
      <c r="CC37" s="170"/>
      <c r="CD37" s="175"/>
      <c r="CE37" s="16" t="s">
        <v>17</v>
      </c>
      <c r="CF37" s="175"/>
      <c r="CG37" s="17" t="str">
        <f t="shared" si="135"/>
        <v>-</v>
      </c>
      <c r="CH37" s="170"/>
      <c r="CI37" s="175"/>
      <c r="CJ37" s="16" t="s">
        <v>17</v>
      </c>
      <c r="CK37" s="175"/>
      <c r="CL37" s="17" t="str">
        <f t="shared" si="136"/>
        <v>-</v>
      </c>
      <c r="CM37" s="170"/>
      <c r="CN37" s="175"/>
      <c r="CO37" s="16" t="s">
        <v>17</v>
      </c>
      <c r="CP37" s="175"/>
      <c r="CQ37" s="17" t="str">
        <f t="shared" si="137"/>
        <v>-</v>
      </c>
      <c r="CR37" s="170"/>
      <c r="CS37" s="175"/>
      <c r="CT37" s="16" t="s">
        <v>17</v>
      </c>
      <c r="CU37" s="175"/>
      <c r="CV37" s="17" t="str">
        <f t="shared" si="138"/>
        <v>-</v>
      </c>
      <c r="CW37" s="170"/>
      <c r="CX37" s="175"/>
      <c r="CY37" s="16" t="s">
        <v>17</v>
      </c>
      <c r="CZ37" s="175"/>
      <c r="DA37" s="17" t="str">
        <f t="shared" si="139"/>
        <v>-</v>
      </c>
      <c r="DB37" s="170"/>
      <c r="DC37" s="175"/>
      <c r="DD37" s="16" t="s">
        <v>17</v>
      </c>
      <c r="DE37" s="175"/>
      <c r="DF37" s="17" t="str">
        <f t="shared" si="140"/>
        <v>-</v>
      </c>
      <c r="DG37" s="170"/>
      <c r="DH37" s="175"/>
      <c r="DI37" s="16" t="s">
        <v>17</v>
      </c>
      <c r="DJ37" s="175"/>
      <c r="DK37" s="17" t="str">
        <f t="shared" si="141"/>
        <v>-</v>
      </c>
      <c r="DL37" s="170"/>
      <c r="DM37" s="175"/>
      <c r="DN37" s="16" t="s">
        <v>17</v>
      </c>
      <c r="DO37" s="175"/>
      <c r="DP37" s="17" t="str">
        <f t="shared" si="142"/>
        <v>-</v>
      </c>
      <c r="DQ37" s="170"/>
      <c r="DR37" s="175"/>
      <c r="DS37" s="16" t="s">
        <v>17</v>
      </c>
      <c r="DT37" s="175"/>
      <c r="DU37" s="17" t="str">
        <f t="shared" si="143"/>
        <v>-</v>
      </c>
      <c r="DV37" s="170"/>
      <c r="DW37" s="175"/>
      <c r="DX37" s="16" t="s">
        <v>17</v>
      </c>
      <c r="DY37" s="175"/>
      <c r="DZ37" s="17" t="str">
        <f t="shared" si="144"/>
        <v>-</v>
      </c>
      <c r="EA37" s="166"/>
      <c r="EB37" s="175"/>
      <c r="EC37" s="16" t="s">
        <v>17</v>
      </c>
      <c r="ED37" s="175"/>
      <c r="EE37" s="17" t="str">
        <f t="shared" si="145"/>
        <v>-</v>
      </c>
      <c r="EF37" s="166"/>
      <c r="EG37" s="175"/>
      <c r="EH37" s="16" t="s">
        <v>17</v>
      </c>
      <c r="EI37" s="175"/>
      <c r="EJ37" s="17" t="str">
        <f t="shared" si="146"/>
        <v>-</v>
      </c>
      <c r="EK37" s="166"/>
      <c r="EL37" s="175"/>
      <c r="EM37" s="16" t="s">
        <v>17</v>
      </c>
      <c r="EN37" s="175"/>
      <c r="EO37" s="17" t="str">
        <f t="shared" si="147"/>
        <v>-</v>
      </c>
      <c r="EP37" s="166"/>
      <c r="EQ37" s="175"/>
      <c r="ER37" s="16" t="s">
        <v>17</v>
      </c>
      <c r="ES37" s="175"/>
      <c r="ET37" s="17" t="str">
        <f t="shared" si="148"/>
        <v>-</v>
      </c>
      <c r="EU37" s="166"/>
      <c r="EV37" s="13"/>
      <c r="EW37" s="174" t="s">
        <v>17</v>
      </c>
      <c r="EX37" s="13"/>
      <c r="EY37" s="19" t="str">
        <f t="shared" si="149"/>
        <v>-</v>
      </c>
      <c r="EZ37" s="166"/>
      <c r="FA37" s="8"/>
    </row>
    <row r="38" spans="1:157" ht="17.399999999999999">
      <c r="A38" s="89" t="s">
        <v>93</v>
      </c>
      <c r="B38" s="90"/>
      <c r="C38" s="91" t="s">
        <v>17</v>
      </c>
      <c r="D38" s="90"/>
      <c r="E38" s="89" t="s">
        <v>91</v>
      </c>
      <c r="F38" s="166"/>
      <c r="G38" s="214"/>
      <c r="H38" s="211" t="s">
        <v>17</v>
      </c>
      <c r="I38" s="214"/>
      <c r="J38" s="92" t="str">
        <f t="shared" si="120"/>
        <v>-</v>
      </c>
      <c r="K38" s="178"/>
      <c r="L38" s="214"/>
      <c r="M38" s="211" t="s">
        <v>17</v>
      </c>
      <c r="N38" s="214"/>
      <c r="O38" s="92" t="str">
        <f t="shared" si="121"/>
        <v>-</v>
      </c>
      <c r="P38" s="178"/>
      <c r="Q38" s="214"/>
      <c r="R38" s="211" t="s">
        <v>17</v>
      </c>
      <c r="S38" s="214"/>
      <c r="T38" s="92" t="str">
        <f t="shared" si="122"/>
        <v>-</v>
      </c>
      <c r="U38" s="178"/>
      <c r="V38" s="214"/>
      <c r="W38" s="211" t="s">
        <v>17</v>
      </c>
      <c r="X38" s="214"/>
      <c r="Y38" s="92" t="str">
        <f t="shared" si="123"/>
        <v>-</v>
      </c>
      <c r="Z38" s="178"/>
      <c r="AA38" s="214"/>
      <c r="AB38" s="211" t="s">
        <v>17</v>
      </c>
      <c r="AC38" s="214"/>
      <c r="AD38" s="92" t="str">
        <f t="shared" si="124"/>
        <v>-</v>
      </c>
      <c r="AE38" s="173"/>
      <c r="AF38" s="214"/>
      <c r="AG38" s="211" t="s">
        <v>17</v>
      </c>
      <c r="AH38" s="214"/>
      <c r="AI38" s="92" t="str">
        <f t="shared" si="125"/>
        <v>-</v>
      </c>
      <c r="AJ38" s="178"/>
      <c r="AK38" s="214"/>
      <c r="AL38" s="211" t="s">
        <v>17</v>
      </c>
      <c r="AM38" s="214"/>
      <c r="AN38" s="92" t="str">
        <f t="shared" si="126"/>
        <v>-</v>
      </c>
      <c r="AO38" s="178"/>
      <c r="AP38" s="214"/>
      <c r="AQ38" s="211" t="s">
        <v>17</v>
      </c>
      <c r="AR38" s="214"/>
      <c r="AS38" s="92" t="str">
        <f t="shared" si="127"/>
        <v>-</v>
      </c>
      <c r="AT38" s="173"/>
      <c r="AU38" s="214"/>
      <c r="AV38" s="211" t="s">
        <v>17</v>
      </c>
      <c r="AW38" s="214"/>
      <c r="AX38" s="92" t="str">
        <f t="shared" si="128"/>
        <v>-</v>
      </c>
      <c r="AY38" s="168"/>
      <c r="AZ38" s="214"/>
      <c r="BA38" s="211" t="s">
        <v>17</v>
      </c>
      <c r="BB38" s="214"/>
      <c r="BC38" s="92" t="str">
        <f t="shared" si="129"/>
        <v>-</v>
      </c>
      <c r="BD38" s="169"/>
      <c r="BE38" s="215"/>
      <c r="BF38" s="212" t="s">
        <v>17</v>
      </c>
      <c r="BG38" s="215"/>
      <c r="BH38" s="93" t="str">
        <f t="shared" si="130"/>
        <v>-</v>
      </c>
      <c r="BI38" s="169"/>
      <c r="BJ38" s="215"/>
      <c r="BK38" s="212" t="s">
        <v>17</v>
      </c>
      <c r="BL38" s="215"/>
      <c r="BM38" s="93" t="str">
        <f t="shared" si="131"/>
        <v>-</v>
      </c>
      <c r="BN38" s="169"/>
      <c r="BO38" s="215"/>
      <c r="BP38" s="212" t="s">
        <v>17</v>
      </c>
      <c r="BQ38" s="215"/>
      <c r="BR38" s="93" t="str">
        <f t="shared" si="132"/>
        <v>-</v>
      </c>
      <c r="BS38" s="169"/>
      <c r="BT38" s="215"/>
      <c r="BU38" s="212" t="s">
        <v>17</v>
      </c>
      <c r="BV38" s="215"/>
      <c r="BW38" s="93" t="str">
        <f t="shared" si="133"/>
        <v>-</v>
      </c>
      <c r="BX38" s="166"/>
      <c r="BY38" s="213"/>
      <c r="BZ38" s="211" t="s">
        <v>17</v>
      </c>
      <c r="CA38" s="213"/>
      <c r="CB38" s="92" t="str">
        <f t="shared" si="134"/>
        <v>-</v>
      </c>
      <c r="CC38" s="170"/>
      <c r="CD38" s="213"/>
      <c r="CE38" s="211" t="s">
        <v>17</v>
      </c>
      <c r="CF38" s="213"/>
      <c r="CG38" s="92" t="str">
        <f t="shared" si="135"/>
        <v>-</v>
      </c>
      <c r="CH38" s="170"/>
      <c r="CI38" s="213"/>
      <c r="CJ38" s="211" t="s">
        <v>17</v>
      </c>
      <c r="CK38" s="213"/>
      <c r="CL38" s="92" t="str">
        <f t="shared" si="136"/>
        <v>-</v>
      </c>
      <c r="CM38" s="170"/>
      <c r="CN38" s="213"/>
      <c r="CO38" s="211" t="s">
        <v>17</v>
      </c>
      <c r="CP38" s="213"/>
      <c r="CQ38" s="92" t="str">
        <f t="shared" si="137"/>
        <v>-</v>
      </c>
      <c r="CR38" s="170"/>
      <c r="CS38" s="213"/>
      <c r="CT38" s="211" t="s">
        <v>17</v>
      </c>
      <c r="CU38" s="213"/>
      <c r="CV38" s="92" t="str">
        <f t="shared" si="138"/>
        <v>-</v>
      </c>
      <c r="CW38" s="170"/>
      <c r="CX38" s="213"/>
      <c r="CY38" s="211" t="s">
        <v>17</v>
      </c>
      <c r="CZ38" s="213"/>
      <c r="DA38" s="92" t="str">
        <f t="shared" si="139"/>
        <v>-</v>
      </c>
      <c r="DB38" s="170"/>
      <c r="DC38" s="213"/>
      <c r="DD38" s="211" t="s">
        <v>17</v>
      </c>
      <c r="DE38" s="213"/>
      <c r="DF38" s="92" t="str">
        <f t="shared" si="140"/>
        <v>-</v>
      </c>
      <c r="DG38" s="170"/>
      <c r="DH38" s="213"/>
      <c r="DI38" s="211" t="s">
        <v>17</v>
      </c>
      <c r="DJ38" s="213"/>
      <c r="DK38" s="92" t="str">
        <f t="shared" si="141"/>
        <v>-</v>
      </c>
      <c r="DL38" s="170"/>
      <c r="DM38" s="213"/>
      <c r="DN38" s="211" t="s">
        <v>17</v>
      </c>
      <c r="DO38" s="213"/>
      <c r="DP38" s="92" t="str">
        <f t="shared" si="142"/>
        <v>-</v>
      </c>
      <c r="DQ38" s="170"/>
      <c r="DR38" s="213"/>
      <c r="DS38" s="211" t="s">
        <v>17</v>
      </c>
      <c r="DT38" s="213"/>
      <c r="DU38" s="92" t="str">
        <f t="shared" si="143"/>
        <v>-</v>
      </c>
      <c r="DV38" s="170"/>
      <c r="DW38" s="213"/>
      <c r="DX38" s="211" t="s">
        <v>17</v>
      </c>
      <c r="DY38" s="213"/>
      <c r="DZ38" s="92" t="str">
        <f t="shared" si="144"/>
        <v>-</v>
      </c>
      <c r="EA38" s="166"/>
      <c r="EB38" s="213"/>
      <c r="EC38" s="211" t="s">
        <v>17</v>
      </c>
      <c r="ED38" s="213"/>
      <c r="EE38" s="92" t="str">
        <f t="shared" si="145"/>
        <v>-</v>
      </c>
      <c r="EF38" s="166"/>
      <c r="EG38" s="213"/>
      <c r="EH38" s="211" t="s">
        <v>17</v>
      </c>
      <c r="EI38" s="213"/>
      <c r="EJ38" s="92" t="str">
        <f t="shared" si="146"/>
        <v>-</v>
      </c>
      <c r="EK38" s="166"/>
      <c r="EL38" s="213"/>
      <c r="EM38" s="211" t="s">
        <v>17</v>
      </c>
      <c r="EN38" s="213"/>
      <c r="EO38" s="92" t="str">
        <f t="shared" si="147"/>
        <v>-</v>
      </c>
      <c r="EP38" s="166"/>
      <c r="EQ38" s="213"/>
      <c r="ER38" s="211" t="s">
        <v>17</v>
      </c>
      <c r="ES38" s="213"/>
      <c r="ET38" s="92" t="str">
        <f t="shared" si="148"/>
        <v>-</v>
      </c>
      <c r="EU38" s="166"/>
      <c r="EV38" s="215"/>
      <c r="EW38" s="212" t="s">
        <v>17</v>
      </c>
      <c r="EX38" s="215"/>
      <c r="EY38" s="93" t="str">
        <f t="shared" si="149"/>
        <v>-</v>
      </c>
      <c r="EZ38" s="166"/>
      <c r="FA38" s="8"/>
    </row>
    <row r="39" spans="1:157" ht="17.399999999999999">
      <c r="A39" s="12" t="s">
        <v>93</v>
      </c>
      <c r="B39" s="13"/>
      <c r="C39" s="14" t="s">
        <v>17</v>
      </c>
      <c r="D39" s="13"/>
      <c r="E39" s="12" t="s">
        <v>90</v>
      </c>
      <c r="F39" s="166"/>
      <c r="G39" s="29"/>
      <c r="H39" s="16" t="s">
        <v>17</v>
      </c>
      <c r="I39" s="29"/>
      <c r="J39" s="17" t="str">
        <f t="shared" si="120"/>
        <v>-</v>
      </c>
      <c r="K39" s="178"/>
      <c r="L39" s="29"/>
      <c r="M39" s="16" t="s">
        <v>17</v>
      </c>
      <c r="N39" s="29"/>
      <c r="O39" s="17" t="str">
        <f t="shared" si="121"/>
        <v>-</v>
      </c>
      <c r="P39" s="178"/>
      <c r="Q39" s="29"/>
      <c r="R39" s="16" t="s">
        <v>17</v>
      </c>
      <c r="S39" s="29"/>
      <c r="T39" s="17" t="str">
        <f t="shared" si="122"/>
        <v>-</v>
      </c>
      <c r="U39" s="178"/>
      <c r="V39" s="29"/>
      <c r="W39" s="16" t="s">
        <v>17</v>
      </c>
      <c r="X39" s="29"/>
      <c r="Y39" s="17" t="str">
        <f t="shared" si="123"/>
        <v>-</v>
      </c>
      <c r="Z39" s="178"/>
      <c r="AA39" s="29"/>
      <c r="AB39" s="16" t="s">
        <v>17</v>
      </c>
      <c r="AC39" s="29"/>
      <c r="AD39" s="17" t="str">
        <f t="shared" si="124"/>
        <v>-</v>
      </c>
      <c r="AE39" s="173"/>
      <c r="AF39" s="29"/>
      <c r="AG39" s="16" t="s">
        <v>17</v>
      </c>
      <c r="AH39" s="29"/>
      <c r="AI39" s="17" t="str">
        <f t="shared" si="125"/>
        <v>-</v>
      </c>
      <c r="AJ39" s="178"/>
      <c r="AK39" s="29"/>
      <c r="AL39" s="16" t="s">
        <v>17</v>
      </c>
      <c r="AM39" s="29"/>
      <c r="AN39" s="17" t="str">
        <f t="shared" si="126"/>
        <v>-</v>
      </c>
      <c r="AO39" s="178"/>
      <c r="AP39" s="29"/>
      <c r="AQ39" s="16" t="s">
        <v>17</v>
      </c>
      <c r="AR39" s="29"/>
      <c r="AS39" s="17" t="str">
        <f t="shared" si="127"/>
        <v>-</v>
      </c>
      <c r="AT39" s="173"/>
      <c r="AU39" s="29"/>
      <c r="AV39" s="16" t="s">
        <v>17</v>
      </c>
      <c r="AW39" s="29"/>
      <c r="AX39" s="17" t="str">
        <f t="shared" si="128"/>
        <v>-</v>
      </c>
      <c r="AY39" s="168"/>
      <c r="AZ39" s="29"/>
      <c r="BA39" s="16" t="s">
        <v>17</v>
      </c>
      <c r="BB39" s="29"/>
      <c r="BC39" s="17" t="str">
        <f t="shared" si="129"/>
        <v>-</v>
      </c>
      <c r="BD39" s="169"/>
      <c r="BE39" s="199"/>
      <c r="BF39" s="174" t="s">
        <v>17</v>
      </c>
      <c r="BG39" s="199"/>
      <c r="BH39" s="19" t="str">
        <f t="shared" si="130"/>
        <v>-</v>
      </c>
      <c r="BI39" s="169"/>
      <c r="BJ39" s="199"/>
      <c r="BK39" s="174" t="s">
        <v>17</v>
      </c>
      <c r="BL39" s="199"/>
      <c r="BM39" s="19" t="str">
        <f t="shared" si="131"/>
        <v>-</v>
      </c>
      <c r="BN39" s="169"/>
      <c r="BO39" s="199"/>
      <c r="BP39" s="174" t="s">
        <v>17</v>
      </c>
      <c r="BQ39" s="199"/>
      <c r="BR39" s="19" t="str">
        <f t="shared" si="132"/>
        <v>-</v>
      </c>
      <c r="BS39" s="169"/>
      <c r="BT39" s="199"/>
      <c r="BU39" s="174" t="s">
        <v>17</v>
      </c>
      <c r="BV39" s="199"/>
      <c r="BW39" s="19" t="str">
        <f t="shared" si="133"/>
        <v>-</v>
      </c>
      <c r="BX39" s="166"/>
      <c r="BY39" s="175"/>
      <c r="BZ39" s="16" t="s">
        <v>17</v>
      </c>
      <c r="CA39" s="175"/>
      <c r="CB39" s="17" t="str">
        <f t="shared" si="134"/>
        <v>-</v>
      </c>
      <c r="CC39" s="170"/>
      <c r="CD39" s="175"/>
      <c r="CE39" s="16" t="s">
        <v>17</v>
      </c>
      <c r="CF39" s="175"/>
      <c r="CG39" s="17" t="str">
        <f t="shared" si="135"/>
        <v>-</v>
      </c>
      <c r="CH39" s="170"/>
      <c r="CI39" s="175"/>
      <c r="CJ39" s="16" t="s">
        <v>17</v>
      </c>
      <c r="CK39" s="175"/>
      <c r="CL39" s="17" t="str">
        <f t="shared" si="136"/>
        <v>-</v>
      </c>
      <c r="CM39" s="170"/>
      <c r="CN39" s="175"/>
      <c r="CO39" s="16" t="s">
        <v>17</v>
      </c>
      <c r="CP39" s="175"/>
      <c r="CQ39" s="17" t="str">
        <f t="shared" si="137"/>
        <v>-</v>
      </c>
      <c r="CR39" s="170"/>
      <c r="CS39" s="175"/>
      <c r="CT39" s="16" t="s">
        <v>17</v>
      </c>
      <c r="CU39" s="175"/>
      <c r="CV39" s="17" t="str">
        <f t="shared" si="138"/>
        <v>-</v>
      </c>
      <c r="CW39" s="170"/>
      <c r="CX39" s="175"/>
      <c r="CY39" s="16" t="s">
        <v>17</v>
      </c>
      <c r="CZ39" s="175"/>
      <c r="DA39" s="17" t="str">
        <f t="shared" si="139"/>
        <v>-</v>
      </c>
      <c r="DB39" s="170"/>
      <c r="DC39" s="175"/>
      <c r="DD39" s="16" t="s">
        <v>17</v>
      </c>
      <c r="DE39" s="175"/>
      <c r="DF39" s="17" t="str">
        <f t="shared" si="140"/>
        <v>-</v>
      </c>
      <c r="DG39" s="170"/>
      <c r="DH39" s="175"/>
      <c r="DI39" s="16" t="s">
        <v>17</v>
      </c>
      <c r="DJ39" s="175"/>
      <c r="DK39" s="17" t="str">
        <f t="shared" si="141"/>
        <v>-</v>
      </c>
      <c r="DL39" s="170"/>
      <c r="DM39" s="175"/>
      <c r="DN39" s="16" t="s">
        <v>17</v>
      </c>
      <c r="DO39" s="175"/>
      <c r="DP39" s="17" t="str">
        <f t="shared" si="142"/>
        <v>-</v>
      </c>
      <c r="DQ39" s="170"/>
      <c r="DR39" s="175"/>
      <c r="DS39" s="16" t="s">
        <v>17</v>
      </c>
      <c r="DT39" s="175"/>
      <c r="DU39" s="17" t="str">
        <f t="shared" si="143"/>
        <v>-</v>
      </c>
      <c r="DV39" s="170"/>
      <c r="DW39" s="175"/>
      <c r="DX39" s="16" t="s">
        <v>17</v>
      </c>
      <c r="DY39" s="175"/>
      <c r="DZ39" s="17" t="str">
        <f t="shared" si="144"/>
        <v>-</v>
      </c>
      <c r="EA39" s="166"/>
      <c r="EB39" s="175"/>
      <c r="EC39" s="16" t="s">
        <v>17</v>
      </c>
      <c r="ED39" s="175"/>
      <c r="EE39" s="17" t="str">
        <f t="shared" si="145"/>
        <v>-</v>
      </c>
      <c r="EF39" s="166"/>
      <c r="EG39" s="175"/>
      <c r="EH39" s="16" t="s">
        <v>17</v>
      </c>
      <c r="EI39" s="175"/>
      <c r="EJ39" s="17" t="str">
        <f t="shared" si="146"/>
        <v>-</v>
      </c>
      <c r="EK39" s="166"/>
      <c r="EL39" s="175"/>
      <c r="EM39" s="16" t="s">
        <v>17</v>
      </c>
      <c r="EN39" s="175"/>
      <c r="EO39" s="17" t="str">
        <f t="shared" si="147"/>
        <v>-</v>
      </c>
      <c r="EP39" s="166"/>
      <c r="EQ39" s="175"/>
      <c r="ER39" s="16" t="s">
        <v>17</v>
      </c>
      <c r="ES39" s="175"/>
      <c r="ET39" s="17" t="str">
        <f t="shared" si="148"/>
        <v>-</v>
      </c>
      <c r="EU39" s="166"/>
      <c r="EV39" s="199"/>
      <c r="EW39" s="174" t="s">
        <v>17</v>
      </c>
      <c r="EX39" s="199"/>
      <c r="EY39" s="19" t="str">
        <f t="shared" si="149"/>
        <v>-</v>
      </c>
      <c r="EZ39" s="166"/>
      <c r="FA39" s="8"/>
    </row>
    <row r="40" spans="1:157" ht="17.399999999999999">
      <c r="A40" s="89" t="s">
        <v>91</v>
      </c>
      <c r="B40" s="90"/>
      <c r="C40" s="91" t="s">
        <v>17</v>
      </c>
      <c r="D40" s="90"/>
      <c r="E40" s="89" t="s">
        <v>92</v>
      </c>
      <c r="F40" s="166"/>
      <c r="G40" s="214"/>
      <c r="H40" s="211" t="s">
        <v>17</v>
      </c>
      <c r="I40" s="214"/>
      <c r="J40" s="92" t="str">
        <f t="shared" si="120"/>
        <v>-</v>
      </c>
      <c r="K40" s="178"/>
      <c r="L40" s="214"/>
      <c r="M40" s="211" t="s">
        <v>17</v>
      </c>
      <c r="N40" s="214"/>
      <c r="O40" s="92" t="str">
        <f t="shared" si="121"/>
        <v>-</v>
      </c>
      <c r="P40" s="178"/>
      <c r="Q40" s="214"/>
      <c r="R40" s="211" t="s">
        <v>17</v>
      </c>
      <c r="S40" s="214"/>
      <c r="T40" s="92" t="str">
        <f t="shared" si="122"/>
        <v>-</v>
      </c>
      <c r="U40" s="178"/>
      <c r="V40" s="214"/>
      <c r="W40" s="211" t="s">
        <v>17</v>
      </c>
      <c r="X40" s="214"/>
      <c r="Y40" s="92" t="str">
        <f t="shared" si="123"/>
        <v>-</v>
      </c>
      <c r="Z40" s="178"/>
      <c r="AA40" s="214"/>
      <c r="AB40" s="211" t="s">
        <v>17</v>
      </c>
      <c r="AC40" s="214"/>
      <c r="AD40" s="92" t="str">
        <f t="shared" si="124"/>
        <v>-</v>
      </c>
      <c r="AE40" s="173"/>
      <c r="AF40" s="214"/>
      <c r="AG40" s="211" t="s">
        <v>17</v>
      </c>
      <c r="AH40" s="214"/>
      <c r="AI40" s="92" t="str">
        <f t="shared" si="125"/>
        <v>-</v>
      </c>
      <c r="AJ40" s="178"/>
      <c r="AK40" s="214"/>
      <c r="AL40" s="211" t="s">
        <v>17</v>
      </c>
      <c r="AM40" s="214"/>
      <c r="AN40" s="92" t="str">
        <f t="shared" si="126"/>
        <v>-</v>
      </c>
      <c r="AO40" s="178"/>
      <c r="AP40" s="214"/>
      <c r="AQ40" s="211" t="s">
        <v>17</v>
      </c>
      <c r="AR40" s="214"/>
      <c r="AS40" s="92" t="str">
        <f t="shared" si="127"/>
        <v>-</v>
      </c>
      <c r="AT40" s="173"/>
      <c r="AU40" s="214"/>
      <c r="AV40" s="211" t="s">
        <v>17</v>
      </c>
      <c r="AW40" s="214"/>
      <c r="AX40" s="92" t="str">
        <f t="shared" si="128"/>
        <v>-</v>
      </c>
      <c r="AY40" s="168"/>
      <c r="AZ40" s="214"/>
      <c r="BA40" s="211" t="s">
        <v>17</v>
      </c>
      <c r="BB40" s="214"/>
      <c r="BC40" s="92" t="str">
        <f t="shared" si="129"/>
        <v>-</v>
      </c>
      <c r="BD40" s="169"/>
      <c r="BE40" s="215"/>
      <c r="BF40" s="212" t="s">
        <v>17</v>
      </c>
      <c r="BG40" s="215"/>
      <c r="BH40" s="93" t="str">
        <f t="shared" si="130"/>
        <v>-</v>
      </c>
      <c r="BI40" s="169"/>
      <c r="BJ40" s="215"/>
      <c r="BK40" s="212" t="s">
        <v>17</v>
      </c>
      <c r="BL40" s="215"/>
      <c r="BM40" s="93" t="str">
        <f t="shared" si="131"/>
        <v>-</v>
      </c>
      <c r="BN40" s="169"/>
      <c r="BO40" s="215"/>
      <c r="BP40" s="212" t="s">
        <v>17</v>
      </c>
      <c r="BQ40" s="215"/>
      <c r="BR40" s="93" t="str">
        <f t="shared" si="132"/>
        <v>-</v>
      </c>
      <c r="BS40" s="169"/>
      <c r="BT40" s="215"/>
      <c r="BU40" s="212" t="s">
        <v>17</v>
      </c>
      <c r="BV40" s="215"/>
      <c r="BW40" s="93" t="str">
        <f t="shared" si="133"/>
        <v>-</v>
      </c>
      <c r="BX40" s="166"/>
      <c r="BY40" s="213"/>
      <c r="BZ40" s="211" t="s">
        <v>17</v>
      </c>
      <c r="CA40" s="213"/>
      <c r="CB40" s="92" t="str">
        <f t="shared" si="134"/>
        <v>-</v>
      </c>
      <c r="CC40" s="170"/>
      <c r="CD40" s="213"/>
      <c r="CE40" s="211" t="s">
        <v>17</v>
      </c>
      <c r="CF40" s="213"/>
      <c r="CG40" s="92" t="str">
        <f t="shared" si="135"/>
        <v>-</v>
      </c>
      <c r="CH40" s="170"/>
      <c r="CI40" s="213"/>
      <c r="CJ40" s="211" t="s">
        <v>17</v>
      </c>
      <c r="CK40" s="213"/>
      <c r="CL40" s="92" t="str">
        <f t="shared" si="136"/>
        <v>-</v>
      </c>
      <c r="CM40" s="170"/>
      <c r="CN40" s="213"/>
      <c r="CO40" s="211" t="s">
        <v>17</v>
      </c>
      <c r="CP40" s="213"/>
      <c r="CQ40" s="92" t="str">
        <f t="shared" si="137"/>
        <v>-</v>
      </c>
      <c r="CR40" s="170"/>
      <c r="CS40" s="213"/>
      <c r="CT40" s="211" t="s">
        <v>17</v>
      </c>
      <c r="CU40" s="213"/>
      <c r="CV40" s="92" t="str">
        <f t="shared" si="138"/>
        <v>-</v>
      </c>
      <c r="CW40" s="170"/>
      <c r="CX40" s="213"/>
      <c r="CY40" s="211" t="s">
        <v>17</v>
      </c>
      <c r="CZ40" s="213"/>
      <c r="DA40" s="92" t="str">
        <f t="shared" si="139"/>
        <v>-</v>
      </c>
      <c r="DB40" s="170"/>
      <c r="DC40" s="213"/>
      <c r="DD40" s="211" t="s">
        <v>17</v>
      </c>
      <c r="DE40" s="213"/>
      <c r="DF40" s="92" t="str">
        <f t="shared" si="140"/>
        <v>-</v>
      </c>
      <c r="DG40" s="170"/>
      <c r="DH40" s="213"/>
      <c r="DI40" s="211" t="s">
        <v>17</v>
      </c>
      <c r="DJ40" s="213"/>
      <c r="DK40" s="92" t="str">
        <f t="shared" si="141"/>
        <v>-</v>
      </c>
      <c r="DL40" s="170"/>
      <c r="DM40" s="213"/>
      <c r="DN40" s="211" t="s">
        <v>17</v>
      </c>
      <c r="DO40" s="213"/>
      <c r="DP40" s="92" t="str">
        <f t="shared" si="142"/>
        <v>-</v>
      </c>
      <c r="DQ40" s="170"/>
      <c r="DR40" s="213"/>
      <c r="DS40" s="211" t="s">
        <v>17</v>
      </c>
      <c r="DT40" s="213"/>
      <c r="DU40" s="92" t="str">
        <f t="shared" si="143"/>
        <v>-</v>
      </c>
      <c r="DV40" s="170"/>
      <c r="DW40" s="213"/>
      <c r="DX40" s="211" t="s">
        <v>17</v>
      </c>
      <c r="DY40" s="213"/>
      <c r="DZ40" s="92" t="str">
        <f t="shared" si="144"/>
        <v>-</v>
      </c>
      <c r="EA40" s="166"/>
      <c r="EB40" s="213"/>
      <c r="EC40" s="211" t="s">
        <v>17</v>
      </c>
      <c r="ED40" s="213"/>
      <c r="EE40" s="92" t="str">
        <f t="shared" si="145"/>
        <v>-</v>
      </c>
      <c r="EF40" s="166"/>
      <c r="EG40" s="213"/>
      <c r="EH40" s="211" t="s">
        <v>17</v>
      </c>
      <c r="EI40" s="213"/>
      <c r="EJ40" s="92" t="str">
        <f t="shared" si="146"/>
        <v>-</v>
      </c>
      <c r="EK40" s="166"/>
      <c r="EL40" s="213"/>
      <c r="EM40" s="211" t="s">
        <v>17</v>
      </c>
      <c r="EN40" s="213"/>
      <c r="EO40" s="92" t="str">
        <f t="shared" si="147"/>
        <v>-</v>
      </c>
      <c r="EP40" s="166"/>
      <c r="EQ40" s="213"/>
      <c r="ER40" s="211" t="s">
        <v>17</v>
      </c>
      <c r="ES40" s="213"/>
      <c r="ET40" s="92" t="str">
        <f t="shared" si="148"/>
        <v>-</v>
      </c>
      <c r="EU40" s="166"/>
      <c r="EV40" s="215"/>
      <c r="EW40" s="212" t="s">
        <v>17</v>
      </c>
      <c r="EX40" s="215"/>
      <c r="EY40" s="93" t="str">
        <f t="shared" si="149"/>
        <v>-</v>
      </c>
      <c r="EZ40" s="166"/>
      <c r="FA40" s="8"/>
    </row>
    <row r="41" spans="1:157" ht="17.399999999999999">
      <c r="A41" s="94"/>
      <c r="B41" s="94"/>
      <c r="C41" s="95"/>
      <c r="D41" s="94"/>
      <c r="E41" s="94"/>
      <c r="F41" s="166"/>
      <c r="G41" s="319">
        <f>SUM(J35:J40)</f>
        <v>0</v>
      </c>
      <c r="H41" s="301"/>
      <c r="I41" s="301"/>
      <c r="J41" s="179"/>
      <c r="K41" s="180"/>
      <c r="L41" s="319">
        <f>SUM(O35:O40)</f>
        <v>0</v>
      </c>
      <c r="M41" s="301"/>
      <c r="N41" s="301"/>
      <c r="O41" s="179"/>
      <c r="P41" s="180"/>
      <c r="Q41" s="319">
        <f>SUM(T35:T40)</f>
        <v>0</v>
      </c>
      <c r="R41" s="301"/>
      <c r="S41" s="301"/>
      <c r="T41" s="179"/>
      <c r="U41" s="180"/>
      <c r="V41" s="319">
        <f>SUM(Y35:Y40)</f>
        <v>0</v>
      </c>
      <c r="W41" s="301"/>
      <c r="X41" s="301"/>
      <c r="Y41" s="179"/>
      <c r="Z41" s="180"/>
      <c r="AA41" s="319">
        <f>SUM(AD35:AD40)</f>
        <v>0</v>
      </c>
      <c r="AB41" s="301"/>
      <c r="AC41" s="301"/>
      <c r="AD41" s="179"/>
      <c r="AE41" s="180"/>
      <c r="AF41" s="319">
        <f>SUM(AI35:AI40)</f>
        <v>0</v>
      </c>
      <c r="AG41" s="301"/>
      <c r="AH41" s="301"/>
      <c r="AI41" s="179"/>
      <c r="AJ41" s="180"/>
      <c r="AK41" s="319">
        <f>SUM(AN35:AN40)</f>
        <v>0</v>
      </c>
      <c r="AL41" s="301"/>
      <c r="AM41" s="301"/>
      <c r="AN41" s="179"/>
      <c r="AO41" s="180"/>
      <c r="AP41" s="319">
        <f>SUM(AS35:AS40)</f>
        <v>0</v>
      </c>
      <c r="AQ41" s="301"/>
      <c r="AR41" s="301"/>
      <c r="AS41" s="181"/>
      <c r="AT41" s="180"/>
      <c r="AU41" s="319">
        <f>SUM(AX35:AX40)</f>
        <v>0</v>
      </c>
      <c r="AV41" s="301"/>
      <c r="AW41" s="301"/>
      <c r="AX41" s="182"/>
      <c r="AY41" s="168"/>
      <c r="AZ41" s="319">
        <f>SUM(BC35:BC40)</f>
        <v>0</v>
      </c>
      <c r="BA41" s="301"/>
      <c r="BB41" s="301"/>
      <c r="BC41" s="182"/>
      <c r="BD41" s="169"/>
      <c r="BE41" s="319">
        <f>SUM(BH35:BH40)</f>
        <v>0</v>
      </c>
      <c r="BF41" s="301"/>
      <c r="BG41" s="301"/>
      <c r="BH41" s="182"/>
      <c r="BI41" s="169"/>
      <c r="BJ41" s="319">
        <f>SUM(BM35:BM40)</f>
        <v>0</v>
      </c>
      <c r="BK41" s="301"/>
      <c r="BL41" s="301"/>
      <c r="BM41" s="182"/>
      <c r="BN41" s="169"/>
      <c r="BO41" s="319">
        <f>SUM(BR35:BR40)</f>
        <v>0</v>
      </c>
      <c r="BP41" s="301"/>
      <c r="BQ41" s="301"/>
      <c r="BR41" s="182"/>
      <c r="BS41" s="169"/>
      <c r="BT41" s="319">
        <f>SUM(BW35:BW40)</f>
        <v>0</v>
      </c>
      <c r="BU41" s="301"/>
      <c r="BV41" s="301"/>
      <c r="BW41" s="182"/>
      <c r="BX41" s="166"/>
      <c r="BY41" s="319">
        <f>SUM(CB35:CB40)</f>
        <v>0</v>
      </c>
      <c r="BZ41" s="301"/>
      <c r="CA41" s="301"/>
      <c r="CB41" s="182"/>
      <c r="CC41" s="183"/>
      <c r="CD41" s="319">
        <f>SUM(CG35:CG40)</f>
        <v>0</v>
      </c>
      <c r="CE41" s="301"/>
      <c r="CF41" s="301"/>
      <c r="CG41" s="182"/>
      <c r="CH41" s="183"/>
      <c r="CI41" s="319">
        <f>SUM(CL35:CL40)</f>
        <v>0</v>
      </c>
      <c r="CJ41" s="301"/>
      <c r="CK41" s="301"/>
      <c r="CL41" s="182"/>
      <c r="CM41" s="183"/>
      <c r="CN41" s="319">
        <f>SUM(CQ35:CQ40)</f>
        <v>0</v>
      </c>
      <c r="CO41" s="301"/>
      <c r="CP41" s="301"/>
      <c r="CQ41" s="182"/>
      <c r="CR41" s="183"/>
      <c r="CS41" s="319">
        <f>SUM(CV35:CV40)</f>
        <v>0</v>
      </c>
      <c r="CT41" s="301"/>
      <c r="CU41" s="301"/>
      <c r="CV41" s="182"/>
      <c r="CW41" s="183"/>
      <c r="CX41" s="319">
        <f>SUM(DA35:DA40)</f>
        <v>0</v>
      </c>
      <c r="CY41" s="301"/>
      <c r="CZ41" s="301"/>
      <c r="DA41" s="182"/>
      <c r="DB41" s="183"/>
      <c r="DC41" s="319">
        <f>SUM(DF35:DF40)</f>
        <v>0</v>
      </c>
      <c r="DD41" s="301"/>
      <c r="DE41" s="301"/>
      <c r="DF41" s="182"/>
      <c r="DG41" s="183"/>
      <c r="DH41" s="319">
        <f>SUM(DK35:DK40)</f>
        <v>0</v>
      </c>
      <c r="DI41" s="301"/>
      <c r="DJ41" s="301"/>
      <c r="DK41" s="182"/>
      <c r="DL41" s="183"/>
      <c r="DM41" s="319">
        <f>SUM(DP35:DP40)</f>
        <v>0</v>
      </c>
      <c r="DN41" s="301"/>
      <c r="DO41" s="301"/>
      <c r="DP41" s="182"/>
      <c r="DQ41" s="183"/>
      <c r="DR41" s="319">
        <f>SUM(DU35:DU40)</f>
        <v>0</v>
      </c>
      <c r="DS41" s="301"/>
      <c r="DT41" s="301"/>
      <c r="DU41" s="182"/>
      <c r="DV41" s="183"/>
      <c r="DW41" s="319">
        <f>SUM(DZ35:DZ40)</f>
        <v>0</v>
      </c>
      <c r="DX41" s="301"/>
      <c r="DY41" s="301"/>
      <c r="DZ41" s="182"/>
      <c r="EA41" s="166"/>
      <c r="EB41" s="319">
        <f>SUM(EE35:EE40)</f>
        <v>0</v>
      </c>
      <c r="EC41" s="301"/>
      <c r="ED41" s="301"/>
      <c r="EE41" s="182"/>
      <c r="EF41" s="166"/>
      <c r="EG41" s="319">
        <f>SUM(EJ35:EJ40)</f>
        <v>0</v>
      </c>
      <c r="EH41" s="301"/>
      <c r="EI41" s="301"/>
      <c r="EJ41" s="182"/>
      <c r="EK41" s="166"/>
      <c r="EL41" s="319">
        <f>SUM(EO35:EO40)</f>
        <v>0</v>
      </c>
      <c r="EM41" s="301"/>
      <c r="EN41" s="301"/>
      <c r="EO41" s="182"/>
      <c r="EP41" s="166"/>
      <c r="EQ41" s="319">
        <f>SUM(ET35:ET40)</f>
        <v>0</v>
      </c>
      <c r="ER41" s="301"/>
      <c r="ES41" s="301"/>
      <c r="ET41" s="182"/>
      <c r="EU41" s="166"/>
      <c r="EV41" s="319">
        <f>SUM(EY35:EY40)</f>
        <v>0</v>
      </c>
      <c r="EW41" s="301"/>
      <c r="EX41" s="301"/>
      <c r="EY41" s="182"/>
      <c r="EZ41" s="166"/>
      <c r="FA41" s="8"/>
    </row>
    <row r="42" spans="1:157" ht="17.399999999999999">
      <c r="A42" s="322" t="s">
        <v>41</v>
      </c>
      <c r="B42" s="301"/>
      <c r="C42" s="301"/>
      <c r="D42" s="301"/>
      <c r="E42" s="301"/>
      <c r="F42" s="166"/>
      <c r="G42" s="102"/>
      <c r="H42" s="102"/>
      <c r="I42" s="102"/>
      <c r="J42" s="99"/>
      <c r="K42" s="216"/>
      <c r="L42" s="102"/>
      <c r="M42" s="102"/>
      <c r="N42" s="102"/>
      <c r="O42" s="99"/>
      <c r="P42" s="216"/>
      <c r="Q42" s="102"/>
      <c r="R42" s="102"/>
      <c r="S42" s="102"/>
      <c r="T42" s="99"/>
      <c r="U42" s="216"/>
      <c r="V42" s="102"/>
      <c r="W42" s="102"/>
      <c r="X42" s="102"/>
      <c r="Y42" s="99"/>
      <c r="Z42" s="216"/>
      <c r="AA42" s="102"/>
      <c r="AB42" s="102"/>
      <c r="AC42" s="102"/>
      <c r="AD42" s="99"/>
      <c r="AE42" s="216"/>
      <c r="AF42" s="102"/>
      <c r="AG42" s="102"/>
      <c r="AH42" s="102"/>
      <c r="AI42" s="99"/>
      <c r="AJ42" s="216"/>
      <c r="AK42" s="102"/>
      <c r="AL42" s="102"/>
      <c r="AM42" s="102"/>
      <c r="AN42" s="99"/>
      <c r="AO42" s="216"/>
      <c r="AP42" s="102"/>
      <c r="AQ42" s="102"/>
      <c r="AR42" s="102"/>
      <c r="AS42" s="99"/>
      <c r="AT42" s="181"/>
      <c r="AU42" s="217"/>
      <c r="AV42" s="217"/>
      <c r="AW42" s="217"/>
      <c r="AX42" s="99"/>
      <c r="AY42" s="168"/>
      <c r="AZ42" s="102"/>
      <c r="BA42" s="102"/>
      <c r="BB42" s="102"/>
      <c r="BC42" s="99"/>
      <c r="BD42" s="169"/>
      <c r="BE42" s="102"/>
      <c r="BF42" s="102"/>
      <c r="BG42" s="102"/>
      <c r="BH42" s="102"/>
      <c r="BI42" s="169"/>
      <c r="BJ42" s="102"/>
      <c r="BK42" s="102"/>
      <c r="BL42" s="102"/>
      <c r="BM42" s="102"/>
      <c r="BN42" s="169"/>
      <c r="BO42" s="102"/>
      <c r="BP42" s="102"/>
      <c r="BQ42" s="102"/>
      <c r="BR42" s="102"/>
      <c r="BS42" s="169"/>
      <c r="BT42" s="102"/>
      <c r="BU42" s="102"/>
      <c r="BV42" s="102"/>
      <c r="BW42" s="102"/>
      <c r="BX42" s="166"/>
      <c r="BY42" s="218"/>
      <c r="BZ42" s="218"/>
      <c r="CA42" s="218"/>
      <c r="CB42" s="219"/>
      <c r="CC42" s="183"/>
      <c r="CD42" s="218"/>
      <c r="CE42" s="218"/>
      <c r="CF42" s="218"/>
      <c r="CG42" s="219"/>
      <c r="CH42" s="183"/>
      <c r="CI42" s="218"/>
      <c r="CJ42" s="218"/>
      <c r="CK42" s="218"/>
      <c r="CL42" s="219"/>
      <c r="CM42" s="183"/>
      <c r="CN42" s="218"/>
      <c r="CO42" s="218"/>
      <c r="CP42" s="218"/>
      <c r="CQ42" s="219"/>
      <c r="CR42" s="183"/>
      <c r="CS42" s="218"/>
      <c r="CT42" s="218"/>
      <c r="CU42" s="218"/>
      <c r="CV42" s="219"/>
      <c r="CW42" s="183"/>
      <c r="CX42" s="218"/>
      <c r="CY42" s="218"/>
      <c r="CZ42" s="218"/>
      <c r="DA42" s="218"/>
      <c r="DB42" s="183"/>
      <c r="DC42" s="218"/>
      <c r="DD42" s="218"/>
      <c r="DE42" s="218"/>
      <c r="DF42" s="219"/>
      <c r="DG42" s="183"/>
      <c r="DH42" s="218"/>
      <c r="DI42" s="218"/>
      <c r="DJ42" s="218"/>
      <c r="DK42" s="218"/>
      <c r="DL42" s="183"/>
      <c r="DM42" s="218"/>
      <c r="DN42" s="218"/>
      <c r="DO42" s="218"/>
      <c r="DP42" s="96"/>
      <c r="DQ42" s="183"/>
      <c r="DR42" s="218"/>
      <c r="DS42" s="218"/>
      <c r="DT42" s="218"/>
      <c r="DU42" s="96"/>
      <c r="DV42" s="183"/>
      <c r="DW42" s="218"/>
      <c r="DX42" s="218"/>
      <c r="DY42" s="218"/>
      <c r="DZ42" s="96"/>
      <c r="EA42" s="166"/>
      <c r="EB42" s="218"/>
      <c r="EC42" s="218"/>
      <c r="ED42" s="218"/>
      <c r="EE42" s="102"/>
      <c r="EF42" s="166"/>
      <c r="EG42" s="218"/>
      <c r="EH42" s="218"/>
      <c r="EI42" s="218"/>
      <c r="EJ42" s="96"/>
      <c r="EK42" s="166"/>
      <c r="EL42" s="218"/>
      <c r="EM42" s="218"/>
      <c r="EN42" s="218"/>
      <c r="EO42" s="96"/>
      <c r="EP42" s="166"/>
      <c r="EQ42" s="218"/>
      <c r="ER42" s="218"/>
      <c r="ES42" s="218"/>
      <c r="ET42" s="96"/>
      <c r="EU42" s="166"/>
      <c r="EV42" s="102"/>
      <c r="EW42" s="102"/>
      <c r="EX42" s="102"/>
      <c r="EY42" s="102"/>
      <c r="EZ42" s="166"/>
      <c r="FA42" s="8"/>
    </row>
    <row r="43" spans="1:157" ht="17.399999999999999">
      <c r="A43" s="12" t="s">
        <v>94</v>
      </c>
      <c r="B43" s="13"/>
      <c r="C43" s="14" t="s">
        <v>17</v>
      </c>
      <c r="D43" s="13"/>
      <c r="E43" s="12" t="s">
        <v>95</v>
      </c>
      <c r="F43" s="166"/>
      <c r="G43" s="13"/>
      <c r="H43" s="14" t="s">
        <v>17</v>
      </c>
      <c r="I43" s="13"/>
      <c r="J43" s="17" t="str">
        <f t="shared" ref="J43:J48" si="150">IF(OR(B43="", D43=""), "-",
  IF(OR(G43="", I43=""), 0,
    IF(AND(G43=B43, I43=D43), 10,
      IF(AND(OR(AND(B43&gt;D43, G43&gt;I43), AND(B43&lt;D43, G43&lt;I43), AND(B43=D43, G43=I43)), OR(G43=B43, I43=D43)), 7,
        IF(OR(AND(B43&gt;D43, G43&gt;I43), AND(B43&lt;D43, G43&lt;I43), AND(B43=D43, G43=I43)), 5,
          IF(OR(G43=B43, I43=D43), 2, 0)
        )
      )
    )
  )
)</f>
        <v>-</v>
      </c>
      <c r="K43" s="220"/>
      <c r="L43" s="13"/>
      <c r="M43" s="14" t="s">
        <v>17</v>
      </c>
      <c r="N43" s="13"/>
      <c r="O43" s="17" t="str">
        <f t="shared" ref="O43:O48" si="151">IF(OR(B43="", D43=""), "-",
  IF(OR(L43="", N43=""), 0,
    IF(AND(L43=B43, N43=D43), 10,
      IF(AND(OR(AND(B43&gt;D43, L43&gt;N43), AND(B43&lt;D43, L43&lt;N43), AND(B43=D43, L43=N43)), OR(L43=B43, N43=D43)), 7,
        IF(OR(AND(B43&gt;D43, L43&gt;N43), AND(B43&lt;D43, L43&lt;N43), AND(B43=D43, L43=N43)), 5,
          IF(OR(L43=B43, N43=D43), 2, 0)
        )
      )
    )
  )
)</f>
        <v>-</v>
      </c>
      <c r="P43" s="220"/>
      <c r="Q43" s="13"/>
      <c r="R43" s="14" t="s">
        <v>17</v>
      </c>
      <c r="S43" s="13"/>
      <c r="T43" s="17" t="str">
        <f t="shared" ref="T43:T48" si="152">IF(OR(B43="", D43=""), "-",
  IF(OR(Q43="", S43=""), 0,
    IF(AND(Q43=B43, S43=D43), 10,
      IF(AND(OR(AND(B43&gt;D43, Q43&gt;S43), AND(B43&lt;D43, Q43&lt;S43), AND(B43=D43, Q43=S43)), OR(Q43=B43, S43=D43)), 7,
        IF(OR(AND(B43&gt;D43, Q43&gt;S43), AND(B43&lt;D43, Q43&lt;S43), AND(B43=D43, Q43=S43)), 5,
          IF(OR(Q43=B43, S43=D43), 2, 0)
        )
      )
    )
  )
)</f>
        <v>-</v>
      </c>
      <c r="U43" s="220"/>
      <c r="V43" s="13"/>
      <c r="W43" s="14" t="s">
        <v>17</v>
      </c>
      <c r="X43" s="13"/>
      <c r="Y43" s="17" t="str">
        <f t="shared" ref="Y43:Y48" si="153">IF(OR(B43="", D43=""), "-",
  IF(OR(V43="", X43=""), 0,
    IF(AND(V43=B43, X43=D43), 10,
      IF(AND(OR(AND(B43&gt;D43, V43&gt;X43), AND(B43&lt;D43, V43&lt;X43), AND(B43=D43, V43=X43)), OR(V43=B43, X43=D43)), 7,
        IF(OR(AND(B43&gt;D43, V43&gt;X43), AND(B43&lt;D43, V43&lt;X43), AND(B43=D43, V43=X43)), 5,
          IF(OR(V43=B43, X43=D43), 2, 0)
        )
      )
    )
  )
)</f>
        <v>-</v>
      </c>
      <c r="Z43" s="220"/>
      <c r="AA43" s="13"/>
      <c r="AB43" s="14" t="s">
        <v>17</v>
      </c>
      <c r="AC43" s="13"/>
      <c r="AD43" s="17" t="str">
        <f t="shared" ref="AD43:AD48" si="154">IF(OR(B43="", D43=""), "-",
  IF(OR(AA43="", AC43=""), 0,
    IF(AND(AA43=B43, AC43=D43), 10,
      IF(AND(OR(AND(B43&gt;D43, AA43&gt;AC43), AND(B43&lt;D43, AA43&lt;AC43), AND(B43=D43, AA43=AC43)), OR(AA43=B43, AC43=D43)), 7,
        IF(OR(AND(B43&gt;D43, AA43&gt;AC43), AND(B43&lt;D43, AA43&lt;AC43), AND(B43=D43, AA43=AC43)), 5,
          IF(OR(AA43=B43, AC43=D43), 2, 0)
        )
      )
    )
  )
)</f>
        <v>-</v>
      </c>
      <c r="AE43" s="220"/>
      <c r="AF43" s="13"/>
      <c r="AG43" s="14" t="s">
        <v>17</v>
      </c>
      <c r="AH43" s="13"/>
      <c r="AI43" s="17" t="str">
        <f t="shared" ref="AI43:AI48" si="155">IF(OR(B43="", D43=""), "-",
  IF(OR(AF43="", AH43=""), 0,
    IF(AND(AF43=B43, AH43=D43), 10,
      IF(AND(OR(AND(B43&gt;D43, AF43&gt;AH43), AND(B43&lt;D43, AF43&lt;AH43), AND(B43=D43, AF43=AH43)), OR(AF43=B43, AH43=D43)), 7,
        IF(OR(AND(B43&gt;D43, AF43&gt;AH43), AND(B43&lt;D43, AF43&lt;AH43), AND(B43=D43, AF43=AH43)), 5,
          IF(OR(AF43=B43, AH43=D43), 2, 0)
        )
      )
    )
  )
)</f>
        <v>-</v>
      </c>
      <c r="AJ43" s="220"/>
      <c r="AK43" s="13"/>
      <c r="AL43" s="14" t="s">
        <v>17</v>
      </c>
      <c r="AM43" s="13"/>
      <c r="AN43" s="17" t="str">
        <f t="shared" ref="AN43:AN48" si="156">IF(OR(B43="", D43=""), "-",
  IF(OR(AK43="", AM43=""), 0,
    IF(AND(AK43=B43, AM43=D43), 10,
      IF(AND(OR(AND(B43&gt;D43, AK43&gt;AM43), AND(B43&lt;D43, AK43&lt;AM43), AND(B43=D43, AK43=AM43)), OR(AK43=B43, AM43=D43)), 7,
        IF(OR(AND(B43&gt;D43, AK43&gt;AM43), AND(B43&lt;D43, AK43&lt;AM43), AND(B43=D43, AK43=AM43)), 5,
          IF(OR(AK43=B43, AM43=D43), 2, 0)
        )
      )
    )
  )
)</f>
        <v>-</v>
      </c>
      <c r="AO43" s="220"/>
      <c r="AP43" s="13"/>
      <c r="AQ43" s="14" t="s">
        <v>17</v>
      </c>
      <c r="AR43" s="13"/>
      <c r="AS43" s="17" t="str">
        <f t="shared" ref="AS43:AS48" si="157">IF(OR(B43="", D43=""), "-",
  IF(OR(AP43="", AR43=""), 0,
    IF(AND(AP43=B43, AR43=D43), 10,
      IF(AND(OR(AND(B43&gt;D43, AP43&gt;AR43), AND(B43&lt;D43, AP43&lt;AR43), AND(B43=D43, AP43=AR43)), OR(AP43=B43, AR43=D43)), 7,
        IF(OR(AND(B43&gt;D43, AP43&gt;AR43), AND(B43&lt;D43, AP43&lt;AR43), AND(B43=D43, AP43=AR43)), 5,
          IF(OR(AP43=B43, AR43=D43), 2, 0)
        )
      )
    )
  )
)</f>
        <v>-</v>
      </c>
      <c r="AT43" s="220"/>
      <c r="AU43" s="13"/>
      <c r="AV43" s="14" t="s">
        <v>17</v>
      </c>
      <c r="AW43" s="13"/>
      <c r="AX43" s="17" t="str">
        <f t="shared" ref="AX43:AX48" si="158">IF(OR(B43="", D43=""), "-",
  IF(OR(AU43="", AW43=""), 0,
    IF(AND(AU43=B43, AW43=D43), 10,
      IF(AND(OR(AND(B43&gt;D43, AU43&gt;AW43), AND(B43&lt;D43, AU43&lt;AW43), AND(B43=D43, AU43=AW43)), OR(AU43=B43, AW43=D43)), 7,
        IF(OR(AND(B43&gt;D43, AU43&gt;AW43), AND(B43&lt;D43, AU43&lt;AW43), AND(B43=D43, AU43=AW43)), 5,
          IF(OR(AU43=B43, AW43=D43), 2, 0)
        )
      )
    )
  )
)</f>
        <v>-</v>
      </c>
      <c r="AY43" s="168"/>
      <c r="AZ43" s="13"/>
      <c r="BA43" s="14" t="s">
        <v>17</v>
      </c>
      <c r="BB43" s="13"/>
      <c r="BC43" s="17" t="str">
        <f t="shared" ref="BC43:BC48" si="159">IF(OR(B43="", D43=""), "-",
  IF(OR(AZ43="", BB43=""), 0,
    IF(AND(AZ43=B43, BB43=D43), 10,
      IF(AND(OR(AND(B43&gt;D43, AZ43&gt;BB43), AND(B43&lt;D43, AZ43&lt;BB43), AND(B43=D43, AZ43=BB43)), OR(AZ43=B43, BB43=D43)), 7,
        IF(OR(AND(B43&gt;D43, AZ43&gt;BB43), AND(B43&lt;D43, AZ43&lt;BB43), AND(B43=D43, AZ43=BB43)), 5,
          IF(OR(AZ43=B43, BB43=D43), 2, 0)
        )
      )
    )
  )
)</f>
        <v>-</v>
      </c>
      <c r="BD43" s="169"/>
      <c r="BE43" s="13"/>
      <c r="BF43" s="14" t="s">
        <v>17</v>
      </c>
      <c r="BG43" s="13"/>
      <c r="BH43" s="19" t="str">
        <f t="shared" ref="BH43:BH48" si="160">IF(OR(B43="", D43=""), "-",
  IF(OR(BE43="", BG43=""), 0,
    IF(AND(BE43=B43, BG43=D43), 10,
      IF(AND(OR(AND(B43&gt;D43, BE43&gt;BG43), AND(B43&lt;D43, BE43&lt;BG43), AND(B43=D43, BE43=BG43)), OR(BE43=B43, BG43=D43)), 7,
        IF(OR(AND(B43&gt;D43, BE43&gt;BG43), AND(B43&lt;D43, BE43&lt;BG43), AND(B43=D43, BE43=BG43)), 5,
          IF(OR(BE43=B43, BG43=D43), 2, 0)
        )
      )
    )
  )
)</f>
        <v>-</v>
      </c>
      <c r="BI43" s="169"/>
      <c r="BJ43" s="13"/>
      <c r="BK43" s="14" t="s">
        <v>17</v>
      </c>
      <c r="BL43" s="13"/>
      <c r="BM43" s="19" t="str">
        <f t="shared" ref="BM43:BM48" si="161">IF(OR(B43="", D43=""), "-",
  IF(OR(BJ43="", BL43=""), 0,
    IF(AND(BJ43=B43, BL43=D43), 10,
      IF(AND(OR(AND(B43&gt;D43, BJ43&gt;BL43), AND(B43&lt;D43, BJ43&lt;BL43), AND(B43=D43, BJ43=BL43)), OR(BJ43=B43, BL43=D43)), 7,
        IF(OR(AND(B43&gt;D43, BJ43&gt;BL43), AND(B43&lt;D43, BJ43&lt;BL43), AND(B43=D43, BJ43=BL43)), 5,
          IF(OR(BJ43=B43, BL43=D43), 2, 0)
        )
      )
    )
  )
)</f>
        <v>-</v>
      </c>
      <c r="BN43" s="169"/>
      <c r="BO43" s="13"/>
      <c r="BP43" s="14" t="s">
        <v>17</v>
      </c>
      <c r="BQ43" s="13"/>
      <c r="BR43" s="19" t="str">
        <f t="shared" ref="BR43:BR48" si="162">IF(OR(B43="", D43=""), "-",
  IF(OR(BO43="", BQ43=""), 0,
    IF(AND(BO43=B43, BQ43=D43), 10,
      IF(AND(OR(AND(B43&gt;D43, BO43&gt;BQ43), AND(B43&lt;D43, BO43&lt;BQ43), AND(B43=D43, BO43=BQ43)), OR(BO43=B43, BQ43=D43)), 7,
        IF(OR(AND(B43&gt;D43, BO43&gt;BQ43), AND(B43&lt;D43, BO43&lt;BQ43), AND(B43=D43, BO43=BQ43)), 5,
          IF(OR(BO43=B43, BQ43=D43), 2, 0)
        )
      )
    )
  )
)</f>
        <v>-</v>
      </c>
      <c r="BS43" s="169"/>
      <c r="BT43" s="13"/>
      <c r="BU43" s="14" t="s">
        <v>17</v>
      </c>
      <c r="BV43" s="13"/>
      <c r="BW43" s="19" t="str">
        <f t="shared" ref="BW43:BW48" si="163">IF(OR(B43="", D43=""), "-",
  IF(OR(BT43="", BV43=""), 0,
    IF(AND(BT43=B43, BV43=D43), 10,
      IF(AND(OR(AND(B43&gt;D43, BT43&gt;BV43), AND(B43&lt;D43, BT43&lt;BV43), AND(B43=D43, BT43=BV43)), OR(BT43=B43, BV43=D43)), 7,
        IF(OR(AND(B43&gt;D43, BT43&gt;BV43), AND(B43&lt;D43, BT43&lt;BV43), AND(B43=D43, BT43=BV43)), 5,
          IF(OR(BT43=B43, BV43=D43), 2, 0)
        )
      )
    )
  )
)</f>
        <v>-</v>
      </c>
      <c r="BX43" s="166"/>
      <c r="BY43" s="175"/>
      <c r="BZ43" s="16" t="s">
        <v>17</v>
      </c>
      <c r="CA43" s="175"/>
      <c r="CB43" s="17" t="str">
        <f t="shared" ref="CB43:CB48" si="164">IF(OR(B43="", D43=""), "-",
  IF(OR(BY43="", CA43=""), 0,
    IF(AND(BY43=B43, CA43=D43), 10,
      IF(AND(OR(AND(B43&gt;D43, BY43&gt;CA43), AND(B43&lt;D43, BY43&lt;CA43), AND(B43=D43, BY43=CA43)), OR(BY43=B43, CA43=D43)), 7,
        IF(OR(AND(B43&gt;D43, BY43&gt;CA43), AND(B43&lt;D43, BY43&lt;CA43), AND(B43=D43, BY43=CA43)), 5,
          IF(OR(BY43=B43, CA43=D43), 2, 0)
        )
      )
    )
  )
)</f>
        <v>-</v>
      </c>
      <c r="CC43" s="170"/>
      <c r="CD43" s="175"/>
      <c r="CE43" s="16" t="s">
        <v>17</v>
      </c>
      <c r="CF43" s="175"/>
      <c r="CG43" s="17" t="str">
        <f t="shared" ref="CG43:CG48" si="165">IF(OR(B43="", D43=""), "-",
  IF(OR(CD43="", CF43=""), 0,
    IF(AND(CD43=B43, CF43=D43), 10,
      IF(AND(OR(AND(B43&gt;D43, CD43&gt;CF43), AND(B43&lt;D43, CD43&lt;CF43), AND(B43=D43, CD43=CF43)), OR(CD43=B43, CF43=D43)), 7,
        IF(OR(AND(B43&gt;D43, CD43&gt;CF43), AND(B43&lt;D43, CD43&lt;CF43), AND(B43=D43, CD43=CF43)), 5,
          IF(OR(CD43=B43, CF43=D43), 2, 0)
        )
      )
    )
  )
)</f>
        <v>-</v>
      </c>
      <c r="CH43" s="170"/>
      <c r="CI43" s="175"/>
      <c r="CJ43" s="16" t="s">
        <v>17</v>
      </c>
      <c r="CK43" s="175"/>
      <c r="CL43" s="17" t="str">
        <f t="shared" ref="CL43:CL48" si="166">IF(OR(B43="", D43=""), "-",
  IF(OR(CI43="", CK43=""), 0,
    IF(AND(CI43=B43, CK43=D43), 10,
      IF(AND(OR(AND(B43&gt;D43, CI43&gt;CK43), AND(B43&lt;D43, CI43&lt;CK43), AND(B43=D43, CI43=CK43)), OR(CI43=B43, CK43=D43)), 7,
        IF(OR(AND(B43&gt;D43, CI43&gt;CK43), AND(B43&lt;D43, CI43&lt;CK43), AND(B43=D43, CI43=CK43)), 5,
          IF(OR(CI43=B43, CK43=D43), 2, 0)
        )
      )
    )
  )
)</f>
        <v>-</v>
      </c>
      <c r="CM43" s="170"/>
      <c r="CN43" s="175"/>
      <c r="CO43" s="16" t="s">
        <v>17</v>
      </c>
      <c r="CP43" s="175"/>
      <c r="CQ43" s="17" t="str">
        <f t="shared" ref="CQ43:CQ48" si="167">IF(OR(B43="", D43=""), "-",
  IF(OR(CN43="", CP43=""), 0,
    IF(AND(CN43=B43, CP43=D43), 10,
      IF(AND(OR(AND(B43&gt;D43, CN43&gt;CP43), AND(B43&lt;D43, CN43&lt;CP43), AND(B43=D43, CN43=CP43)), OR(CN43=B43, CP43=D43)), 7,
        IF(OR(AND(B43&gt;D43, CN43&gt;CP43), AND(B43&lt;D43, CN43&lt;CP43), AND(B43=D43, CN43=CP43)), 5,
          IF(OR(CN43=B43, CP43=D43), 2, 0)
        )
      )
    )
  )
)</f>
        <v>-</v>
      </c>
      <c r="CR43" s="170"/>
      <c r="CS43" s="175"/>
      <c r="CT43" s="16" t="s">
        <v>17</v>
      </c>
      <c r="CU43" s="175"/>
      <c r="CV43" s="17" t="str">
        <f t="shared" ref="CV43:CV48" si="168">IF(OR(B43="", D43=""), "-",
  IF(OR(CS43="", CU43=""), 0,
    IF(AND(CS43=B43, CU43=D43), 10,
      IF(AND(OR(AND(B43&gt;D43, CS43&gt;CU43), AND(B43&lt;D43, CS43&lt;CU43), AND(B43=D43, CS43=CU43)), OR(CS43=B43, CU43=D43)), 7,
        IF(OR(AND(B43&gt;D43, CS43&gt;CU43), AND(B43&lt;D43, CS43&lt;CU43), AND(B43=D43, CS43=CU43)), 5,
          IF(OR(CS43=B43, CU43=D43), 2, 0)
        )
      )
    )
  )
)</f>
        <v>-</v>
      </c>
      <c r="CW43" s="170"/>
      <c r="CX43" s="175"/>
      <c r="CY43" s="16" t="s">
        <v>17</v>
      </c>
      <c r="CZ43" s="175"/>
      <c r="DA43" s="17" t="str">
        <f t="shared" ref="DA43:DA48" si="169">IF(OR(B43="", D43=""), "-",
  IF(OR(CX43="", CZ43=""), 0,
    IF(AND(CX43=B43, CZ43=D43), 10,
      IF(AND(OR(AND(B43&gt;D43, CX43&gt;CZ43), AND(B43&lt;D43, CX43&lt;CZ43), AND(B43=D43, CX43=CZ43)), OR(CX43=B43, CZ43=D43)), 7,
        IF(OR(AND(B43&gt;D43, CX43&gt;CZ43), AND(B43&lt;D43, CX43&lt;CZ43), AND(B43=D43, CX43=CZ43)), 5,
          IF(OR(CX43=B43, CZ43=D43), 2, 0)
        )
      )
    )
  )
)</f>
        <v>-</v>
      </c>
      <c r="DB43" s="170"/>
      <c r="DC43" s="175"/>
      <c r="DD43" s="16" t="s">
        <v>17</v>
      </c>
      <c r="DE43" s="175"/>
      <c r="DF43" s="17" t="str">
        <f t="shared" ref="DF43:DF48" si="170">IF(OR(B43="", D43=""), "-",
  IF(OR(DC43="", DE43=""), 0,
    IF(AND(DC43=B43, DE43=D43), 10,
      IF(AND(OR(AND(B43&gt;D43, DC43&gt;DE43), AND(B43&lt;D43, DC43&lt;DE43), AND(B43=D43, DC43=DE43)), OR(DC43=B43, DE43=D43)), 7,
        IF(OR(AND(B43&gt;D43, DC43&gt;DE43), AND(B43&lt;D43, DC43&lt;DE43), AND(B43=D43, DC43=DE43)), 5,
          IF(OR(DC43=B43, DE43=D43), 2, 0)
        )
      )
    )
  )
)</f>
        <v>-</v>
      </c>
      <c r="DG43" s="170"/>
      <c r="DH43" s="175"/>
      <c r="DI43" s="16" t="s">
        <v>17</v>
      </c>
      <c r="DJ43" s="175"/>
      <c r="DK43" s="17" t="str">
        <f t="shared" ref="DK43:DK48" si="171">IF(OR(B43="", D43=""), "-",
  IF(OR(DH43="", DJ43=""), 0,
    IF(AND(DH43=B43, DJ43=D43), 10,
      IF(AND(OR(AND(B43&gt;D43, DH43&gt;DJ43), AND(B43&lt;D43, DH43&lt;DJ43), AND(B43=D43, DH43=DJ43)), OR(DH43=B43, DJ43=D43)), 7,
        IF(OR(AND(B43&gt;D43, DH43&gt;DJ43), AND(B43&lt;D43, DH43&lt;DJ43), AND(B43=D43, DH43=DJ43)), 5,
          IF(OR(DH43=B43, DJ43=D43), 2, 0)
        )
      )
    )
  )
)</f>
        <v>-</v>
      </c>
      <c r="DL43" s="170"/>
      <c r="DM43" s="175"/>
      <c r="DN43" s="16" t="s">
        <v>17</v>
      </c>
      <c r="DO43" s="175"/>
      <c r="DP43" s="17" t="str">
        <f t="shared" ref="DP43:DP48" si="172">IF(OR(B43="", D43=""), "-",
  IF(OR(DM43="", DO43=""), 0,
    IF(AND(DM43=B43, DO43=D43), 10,
      IF(AND(OR(AND(B43&gt;D43, DM43&gt;DO43), AND(B43&lt;D43, DM43&lt;DO43), AND(B43=D43, DM43=DO43)), OR(DM43=B43, DO43=D43)), 7,
        IF(OR(AND(B43&gt;D43, DM43&gt;DO43), AND(B43&lt;D43, DM43&lt;DO43), AND(B43=D43, DM43=DO43)), 5,
          IF(OR(DM43=B43, DO43=D43), 2, 0)
        )
      )
    )
  )
)</f>
        <v>-</v>
      </c>
      <c r="DQ43" s="170"/>
      <c r="DR43" s="175"/>
      <c r="DS43" s="16" t="s">
        <v>17</v>
      </c>
      <c r="DT43" s="175"/>
      <c r="DU43" s="17" t="str">
        <f t="shared" ref="DU43:DU48" si="173">IF(OR(B43="", D43=""), "-",
  IF(OR(DR43="", DT43=""), 0,
    IF(AND(DR43=B43, DT43=D43), 10,
      IF(AND(OR(AND(B43&gt;D43, DR43&gt;DT43), AND(B43&lt;D43, DR43&lt;DT43), AND(B43=D43, DR43=DT43)), OR(DR43=B43, DT43=D43)), 7,
        IF(OR(AND(B43&gt;D43, DR43&gt;DT43), AND(B43&lt;D43, DR43&lt;DT43), AND(B43=D43, DR43=DT43)), 5,
          IF(OR(DR43=B43, DT43=D43), 2, 0)
        )
      )
    )
  )
)</f>
        <v>-</v>
      </c>
      <c r="DV43" s="170"/>
      <c r="DW43" s="175"/>
      <c r="DX43" s="16" t="s">
        <v>17</v>
      </c>
      <c r="DY43" s="175"/>
      <c r="DZ43" s="17" t="str">
        <f t="shared" ref="DZ43:DZ48" si="174">IF(OR(B43="", D43=""), "-",
  IF(OR(DW43="", DY43=""), 0,
    IF(AND(DW43=B43, DY43=D43), 10,
      IF(AND(OR(AND(B43&gt;D43, DW43&gt;DY43), AND(B43&lt;D43, DW43&lt;DY43), AND(B43=D43, DW43=DY43)), OR(DW43=B43, DY43=D43)), 7,
        IF(OR(AND(B43&gt;D43, DW43&gt;DY43), AND(B43&lt;D43, DW43&lt;DY43), AND(B43=D43, DW43=DY43)), 5,
          IF(OR(DW43=B43, DY43=D43), 2, 0)
        )
      )
    )
  )
)</f>
        <v>-</v>
      </c>
      <c r="EA43" s="166"/>
      <c r="EB43" s="175"/>
      <c r="EC43" s="16" t="s">
        <v>17</v>
      </c>
      <c r="ED43" s="175"/>
      <c r="EE43" s="17" t="str">
        <f t="shared" ref="EE43:EE48" si="175">IF(OR(B43="", D43=""), "-",
  IF(OR(EB43="", ED43=""), 0,
    IF(AND(EB43=B43, ED43=D43), 10,
      IF(AND(OR(AND(B43&gt;D43, EB43&gt;ED43), AND(B43&lt;D43, EB43&lt;ED43), AND(B43=D43, EB43=ED43)), OR(EB43=B43, ED43=D43)), 7,
        IF(OR(AND(B43&gt;D43, EB43&gt;ED43), AND(B43&lt;D43, EB43&lt;ED43), AND(B43=D43, EB43=ED43)), 5,
          IF(OR(EB43=B43, ED43=D43), 2, 0)
        )
      )
    )
  )
)</f>
        <v>-</v>
      </c>
      <c r="EF43" s="166"/>
      <c r="EG43" s="175"/>
      <c r="EH43" s="16" t="s">
        <v>17</v>
      </c>
      <c r="EI43" s="175"/>
      <c r="EJ43" s="17" t="str">
        <f t="shared" ref="EJ43:EJ48" si="176">IF(OR(B43="", D43=""), "-",
  IF(OR(EG43="", EI43=""), 0,
    IF(AND(EG43=B43, EI43=D43), 10,
      IF(AND(OR(AND(B43&gt;D43, EG43&gt;EI43), AND(B43&lt;D43, EG43&lt;EI43), AND(B43=D43, EG43=EI43)), OR(EG43=B43, EI43=D43)), 7,
        IF(OR(AND(B43&gt;D43, EG43&gt;EI43), AND(B43&lt;D43, EG43&lt;EI43), AND(B43=D43, EG43=EI43)), 5,
          IF(OR(EG43=B43, EI43=D43), 2, 0)
        )
      )
    )
  )
)</f>
        <v>-</v>
      </c>
      <c r="EK43" s="166"/>
      <c r="EL43" s="175"/>
      <c r="EM43" s="16" t="s">
        <v>17</v>
      </c>
      <c r="EN43" s="175"/>
      <c r="EO43" s="17" t="str">
        <f t="shared" ref="EO43:EO48" si="177">IF(OR(B43="", D43=""), "-",
  IF(OR(EL43="", EN43=""), 0,
    IF(AND(EL43=B43, EN43=D43), 10,
      IF(AND(OR(AND(B43&gt;D43, EL43&gt;EN43), AND(B43&lt;D43, EL43&lt;EN43), AND(B43=D43, EL43=EN43)), OR(EL43=B43, EN43=D43)), 7,
        IF(OR(AND(B43&gt;D43, EL43&gt;EN43), AND(B43&lt;D43, EL43&lt;EN43), AND(B43=D43, EL43=EN43)), 5,
          IF(OR(EL43=B43, EN43=D43), 2, 0)
        )
      )
    )
  )
)</f>
        <v>-</v>
      </c>
      <c r="EP43" s="166"/>
      <c r="EQ43" s="175"/>
      <c r="ER43" s="16" t="s">
        <v>17</v>
      </c>
      <c r="ES43" s="175"/>
      <c r="ET43" s="17" t="str">
        <f t="shared" ref="ET43:ET48" si="178">IF(OR(B43="", D43=""), "-",
  IF(OR(EQ43="", ES43=""), 0,
    IF(AND(EQ43=B43, ES43=D43), 10,
      IF(AND(OR(AND(B43&gt;D43, EQ43&gt;ES43), AND(B43&lt;D43, EQ43&lt;ES43), AND(B43=D43, EQ43=ES43)), OR(EQ43=B43, ES43=D43)), 7,
        IF(OR(AND(B43&gt;D43, EQ43&gt;ES43), AND(B43&lt;D43, EQ43&lt;ES43), AND(B43=D43, EQ43=ES43)), 5,
          IF(OR(EQ43=B43, ES43=D43), 2, 0)
        )
      )
    )
  )
)</f>
        <v>-</v>
      </c>
      <c r="EU43" s="166"/>
      <c r="EV43" s="13"/>
      <c r="EW43" s="14" t="s">
        <v>17</v>
      </c>
      <c r="EX43" s="13"/>
      <c r="EY43" s="19" t="str">
        <f t="shared" ref="EY43:EY48" si="179">IF(OR(B43="", D43=""), "-",
  IF(OR(EV43="", EX43=""), 0,
    IF(AND(EV43=B43, EX43=D43), 10,
      IF(AND(OR(AND(B43&gt;D43, EV43&gt;EX43), AND(B43&lt;D43, EV43&lt;EX43), AND(B43=D43, EV43=EX43)), OR(EV43=B43, EX43=D43)), 7,
        IF(OR(AND(B43&gt;D43, EV43&gt;EX43), AND(B43&lt;D43, EV43&lt;EX43), AND(B43=D43, EV43=EX43)), 5,
          IF(OR(EV43=B43, EX43=D43), 2, 0)
        )
      )
    )
  )
)</f>
        <v>-</v>
      </c>
      <c r="EZ43" s="166"/>
      <c r="FA43" s="8"/>
    </row>
    <row r="44" spans="1:157" ht="17.399999999999999">
      <c r="A44" s="103" t="s">
        <v>96</v>
      </c>
      <c r="B44" s="104"/>
      <c r="C44" s="105" t="s">
        <v>17</v>
      </c>
      <c r="D44" s="104"/>
      <c r="E44" s="103" t="s">
        <v>97</v>
      </c>
      <c r="F44" s="166"/>
      <c r="G44" s="104"/>
      <c r="H44" s="105" t="s">
        <v>17</v>
      </c>
      <c r="I44" s="104"/>
      <c r="J44" s="106" t="str">
        <f t="shared" si="150"/>
        <v>-</v>
      </c>
      <c r="K44" s="220"/>
      <c r="L44" s="104"/>
      <c r="M44" s="105" t="s">
        <v>17</v>
      </c>
      <c r="N44" s="104"/>
      <c r="O44" s="106" t="str">
        <f t="shared" si="151"/>
        <v>-</v>
      </c>
      <c r="P44" s="220"/>
      <c r="Q44" s="104"/>
      <c r="R44" s="105" t="s">
        <v>17</v>
      </c>
      <c r="S44" s="104"/>
      <c r="T44" s="106" t="str">
        <f t="shared" si="152"/>
        <v>-</v>
      </c>
      <c r="U44" s="220"/>
      <c r="V44" s="104"/>
      <c r="W44" s="105" t="s">
        <v>17</v>
      </c>
      <c r="X44" s="104"/>
      <c r="Y44" s="106" t="str">
        <f t="shared" si="153"/>
        <v>-</v>
      </c>
      <c r="Z44" s="220"/>
      <c r="AA44" s="104"/>
      <c r="AB44" s="105" t="s">
        <v>17</v>
      </c>
      <c r="AC44" s="104"/>
      <c r="AD44" s="106" t="str">
        <f t="shared" si="154"/>
        <v>-</v>
      </c>
      <c r="AE44" s="220"/>
      <c r="AF44" s="104"/>
      <c r="AG44" s="105" t="s">
        <v>17</v>
      </c>
      <c r="AH44" s="104"/>
      <c r="AI44" s="106" t="str">
        <f t="shared" si="155"/>
        <v>-</v>
      </c>
      <c r="AJ44" s="220"/>
      <c r="AK44" s="104"/>
      <c r="AL44" s="105" t="s">
        <v>17</v>
      </c>
      <c r="AM44" s="104"/>
      <c r="AN44" s="106" t="str">
        <f t="shared" si="156"/>
        <v>-</v>
      </c>
      <c r="AO44" s="220"/>
      <c r="AP44" s="104"/>
      <c r="AQ44" s="105" t="s">
        <v>17</v>
      </c>
      <c r="AR44" s="104"/>
      <c r="AS44" s="106" t="str">
        <f t="shared" si="157"/>
        <v>-</v>
      </c>
      <c r="AT44" s="220"/>
      <c r="AU44" s="104"/>
      <c r="AV44" s="105" t="s">
        <v>17</v>
      </c>
      <c r="AW44" s="104"/>
      <c r="AX44" s="106" t="str">
        <f t="shared" si="158"/>
        <v>-</v>
      </c>
      <c r="AY44" s="168"/>
      <c r="AZ44" s="104"/>
      <c r="BA44" s="105" t="s">
        <v>17</v>
      </c>
      <c r="BB44" s="104"/>
      <c r="BC44" s="106" t="str">
        <f t="shared" si="159"/>
        <v>-</v>
      </c>
      <c r="BD44" s="169"/>
      <c r="BE44" s="104"/>
      <c r="BF44" s="105" t="s">
        <v>17</v>
      </c>
      <c r="BG44" s="104"/>
      <c r="BH44" s="107" t="str">
        <f t="shared" si="160"/>
        <v>-</v>
      </c>
      <c r="BI44" s="169"/>
      <c r="BJ44" s="104"/>
      <c r="BK44" s="105" t="s">
        <v>17</v>
      </c>
      <c r="BL44" s="104"/>
      <c r="BM44" s="107" t="str">
        <f t="shared" si="161"/>
        <v>-</v>
      </c>
      <c r="BN44" s="169"/>
      <c r="BO44" s="104"/>
      <c r="BP44" s="105" t="s">
        <v>17</v>
      </c>
      <c r="BQ44" s="104"/>
      <c r="BR44" s="107" t="str">
        <f t="shared" si="162"/>
        <v>-</v>
      </c>
      <c r="BS44" s="169"/>
      <c r="BT44" s="104"/>
      <c r="BU44" s="105" t="s">
        <v>17</v>
      </c>
      <c r="BV44" s="104"/>
      <c r="BW44" s="107" t="str">
        <f t="shared" si="163"/>
        <v>-</v>
      </c>
      <c r="BX44" s="166"/>
      <c r="BY44" s="221"/>
      <c r="BZ44" s="222" t="s">
        <v>17</v>
      </c>
      <c r="CA44" s="221"/>
      <c r="CB44" s="106" t="str">
        <f t="shared" si="164"/>
        <v>-</v>
      </c>
      <c r="CC44" s="170"/>
      <c r="CD44" s="221"/>
      <c r="CE44" s="222" t="s">
        <v>17</v>
      </c>
      <c r="CF44" s="221"/>
      <c r="CG44" s="106" t="str">
        <f t="shared" si="165"/>
        <v>-</v>
      </c>
      <c r="CH44" s="170"/>
      <c r="CI44" s="221"/>
      <c r="CJ44" s="222" t="s">
        <v>17</v>
      </c>
      <c r="CK44" s="221"/>
      <c r="CL44" s="106" t="str">
        <f t="shared" si="166"/>
        <v>-</v>
      </c>
      <c r="CM44" s="170"/>
      <c r="CN44" s="221"/>
      <c r="CO44" s="222" t="s">
        <v>17</v>
      </c>
      <c r="CP44" s="221"/>
      <c r="CQ44" s="106" t="str">
        <f t="shared" si="167"/>
        <v>-</v>
      </c>
      <c r="CR44" s="170"/>
      <c r="CS44" s="221"/>
      <c r="CT44" s="222" t="s">
        <v>17</v>
      </c>
      <c r="CU44" s="221"/>
      <c r="CV44" s="106" t="str">
        <f t="shared" si="168"/>
        <v>-</v>
      </c>
      <c r="CW44" s="170"/>
      <c r="CX44" s="221"/>
      <c r="CY44" s="222" t="s">
        <v>17</v>
      </c>
      <c r="CZ44" s="221"/>
      <c r="DA44" s="106" t="str">
        <f t="shared" si="169"/>
        <v>-</v>
      </c>
      <c r="DB44" s="170"/>
      <c r="DC44" s="221"/>
      <c r="DD44" s="222" t="s">
        <v>17</v>
      </c>
      <c r="DE44" s="221"/>
      <c r="DF44" s="106" t="str">
        <f t="shared" si="170"/>
        <v>-</v>
      </c>
      <c r="DG44" s="170"/>
      <c r="DH44" s="221"/>
      <c r="DI44" s="222" t="s">
        <v>17</v>
      </c>
      <c r="DJ44" s="221"/>
      <c r="DK44" s="106" t="str">
        <f t="shared" si="171"/>
        <v>-</v>
      </c>
      <c r="DL44" s="170"/>
      <c r="DM44" s="221"/>
      <c r="DN44" s="222" t="s">
        <v>17</v>
      </c>
      <c r="DO44" s="221"/>
      <c r="DP44" s="106" t="str">
        <f t="shared" si="172"/>
        <v>-</v>
      </c>
      <c r="DQ44" s="170"/>
      <c r="DR44" s="221"/>
      <c r="DS44" s="222" t="s">
        <v>17</v>
      </c>
      <c r="DT44" s="221"/>
      <c r="DU44" s="106" t="str">
        <f t="shared" si="173"/>
        <v>-</v>
      </c>
      <c r="DV44" s="170"/>
      <c r="DW44" s="221"/>
      <c r="DX44" s="222" t="s">
        <v>17</v>
      </c>
      <c r="DY44" s="221"/>
      <c r="DZ44" s="106" t="str">
        <f t="shared" si="174"/>
        <v>-</v>
      </c>
      <c r="EA44" s="166"/>
      <c r="EB44" s="221"/>
      <c r="EC44" s="222" t="s">
        <v>17</v>
      </c>
      <c r="ED44" s="221"/>
      <c r="EE44" s="106" t="str">
        <f t="shared" si="175"/>
        <v>-</v>
      </c>
      <c r="EF44" s="166"/>
      <c r="EG44" s="221"/>
      <c r="EH44" s="222" t="s">
        <v>17</v>
      </c>
      <c r="EI44" s="221"/>
      <c r="EJ44" s="106" t="str">
        <f t="shared" si="176"/>
        <v>-</v>
      </c>
      <c r="EK44" s="166"/>
      <c r="EL44" s="221"/>
      <c r="EM44" s="222" t="s">
        <v>17</v>
      </c>
      <c r="EN44" s="221"/>
      <c r="EO44" s="106" t="str">
        <f t="shared" si="177"/>
        <v>-</v>
      </c>
      <c r="EP44" s="166"/>
      <c r="EQ44" s="221"/>
      <c r="ER44" s="222" t="s">
        <v>17</v>
      </c>
      <c r="ES44" s="221"/>
      <c r="ET44" s="106" t="str">
        <f t="shared" si="178"/>
        <v>-</v>
      </c>
      <c r="EU44" s="166"/>
      <c r="EV44" s="104"/>
      <c r="EW44" s="105" t="s">
        <v>17</v>
      </c>
      <c r="EX44" s="104"/>
      <c r="EY44" s="107" t="str">
        <f t="shared" si="179"/>
        <v>-</v>
      </c>
      <c r="EZ44" s="166"/>
      <c r="FA44" s="8"/>
    </row>
    <row r="45" spans="1:157" ht="17.399999999999999">
      <c r="A45" s="12" t="s">
        <v>94</v>
      </c>
      <c r="B45" s="13"/>
      <c r="C45" s="14" t="s">
        <v>17</v>
      </c>
      <c r="D45" s="13"/>
      <c r="E45" s="12" t="s">
        <v>96</v>
      </c>
      <c r="F45" s="166"/>
      <c r="G45" s="13"/>
      <c r="H45" s="14" t="s">
        <v>17</v>
      </c>
      <c r="I45" s="13"/>
      <c r="J45" s="17" t="str">
        <f t="shared" si="150"/>
        <v>-</v>
      </c>
      <c r="K45" s="220"/>
      <c r="L45" s="13"/>
      <c r="M45" s="14" t="s">
        <v>17</v>
      </c>
      <c r="N45" s="13"/>
      <c r="O45" s="17" t="str">
        <f t="shared" si="151"/>
        <v>-</v>
      </c>
      <c r="P45" s="220"/>
      <c r="Q45" s="13"/>
      <c r="R45" s="14" t="s">
        <v>17</v>
      </c>
      <c r="S45" s="13"/>
      <c r="T45" s="17" t="str">
        <f t="shared" si="152"/>
        <v>-</v>
      </c>
      <c r="U45" s="220"/>
      <c r="V45" s="13"/>
      <c r="W45" s="14" t="s">
        <v>17</v>
      </c>
      <c r="X45" s="13"/>
      <c r="Y45" s="17" t="str">
        <f t="shared" si="153"/>
        <v>-</v>
      </c>
      <c r="Z45" s="220"/>
      <c r="AA45" s="13"/>
      <c r="AB45" s="14" t="s">
        <v>17</v>
      </c>
      <c r="AC45" s="13"/>
      <c r="AD45" s="17" t="str">
        <f t="shared" si="154"/>
        <v>-</v>
      </c>
      <c r="AE45" s="220"/>
      <c r="AF45" s="13"/>
      <c r="AG45" s="14" t="s">
        <v>17</v>
      </c>
      <c r="AH45" s="13"/>
      <c r="AI45" s="17" t="str">
        <f t="shared" si="155"/>
        <v>-</v>
      </c>
      <c r="AJ45" s="220"/>
      <c r="AK45" s="13"/>
      <c r="AL45" s="14" t="s">
        <v>17</v>
      </c>
      <c r="AM45" s="13"/>
      <c r="AN45" s="17" t="str">
        <f t="shared" si="156"/>
        <v>-</v>
      </c>
      <c r="AO45" s="220"/>
      <c r="AP45" s="13"/>
      <c r="AQ45" s="14" t="s">
        <v>17</v>
      </c>
      <c r="AR45" s="13"/>
      <c r="AS45" s="17" t="str">
        <f t="shared" si="157"/>
        <v>-</v>
      </c>
      <c r="AT45" s="220"/>
      <c r="AU45" s="13"/>
      <c r="AV45" s="14" t="s">
        <v>17</v>
      </c>
      <c r="AW45" s="13"/>
      <c r="AX45" s="17" t="str">
        <f t="shared" si="158"/>
        <v>-</v>
      </c>
      <c r="AY45" s="168"/>
      <c r="AZ45" s="13"/>
      <c r="BA45" s="14" t="s">
        <v>17</v>
      </c>
      <c r="BB45" s="13"/>
      <c r="BC45" s="17" t="str">
        <f t="shared" si="159"/>
        <v>-</v>
      </c>
      <c r="BD45" s="169"/>
      <c r="BE45" s="13"/>
      <c r="BF45" s="14" t="s">
        <v>17</v>
      </c>
      <c r="BG45" s="13"/>
      <c r="BH45" s="19" t="str">
        <f t="shared" si="160"/>
        <v>-</v>
      </c>
      <c r="BI45" s="169"/>
      <c r="BJ45" s="13"/>
      <c r="BK45" s="14" t="s">
        <v>17</v>
      </c>
      <c r="BL45" s="13"/>
      <c r="BM45" s="19" t="str">
        <f t="shared" si="161"/>
        <v>-</v>
      </c>
      <c r="BN45" s="169"/>
      <c r="BO45" s="13"/>
      <c r="BP45" s="14" t="s">
        <v>17</v>
      </c>
      <c r="BQ45" s="13"/>
      <c r="BR45" s="19" t="str">
        <f t="shared" si="162"/>
        <v>-</v>
      </c>
      <c r="BS45" s="169"/>
      <c r="BT45" s="13"/>
      <c r="BU45" s="14" t="s">
        <v>17</v>
      </c>
      <c r="BV45" s="13"/>
      <c r="BW45" s="19" t="str">
        <f t="shared" si="163"/>
        <v>-</v>
      </c>
      <c r="BX45" s="166"/>
      <c r="BY45" s="175"/>
      <c r="BZ45" s="16" t="s">
        <v>17</v>
      </c>
      <c r="CA45" s="175"/>
      <c r="CB45" s="17" t="str">
        <f t="shared" si="164"/>
        <v>-</v>
      </c>
      <c r="CC45" s="170"/>
      <c r="CD45" s="175"/>
      <c r="CE45" s="16" t="s">
        <v>17</v>
      </c>
      <c r="CF45" s="175"/>
      <c r="CG45" s="17" t="str">
        <f t="shared" si="165"/>
        <v>-</v>
      </c>
      <c r="CH45" s="170"/>
      <c r="CI45" s="175"/>
      <c r="CJ45" s="16" t="s">
        <v>17</v>
      </c>
      <c r="CK45" s="175"/>
      <c r="CL45" s="17" t="str">
        <f t="shared" si="166"/>
        <v>-</v>
      </c>
      <c r="CM45" s="170"/>
      <c r="CN45" s="175"/>
      <c r="CO45" s="16" t="s">
        <v>17</v>
      </c>
      <c r="CP45" s="175"/>
      <c r="CQ45" s="17" t="str">
        <f t="shared" si="167"/>
        <v>-</v>
      </c>
      <c r="CR45" s="170"/>
      <c r="CS45" s="175"/>
      <c r="CT45" s="16" t="s">
        <v>17</v>
      </c>
      <c r="CU45" s="175"/>
      <c r="CV45" s="17" t="str">
        <f t="shared" si="168"/>
        <v>-</v>
      </c>
      <c r="CW45" s="170"/>
      <c r="CX45" s="175"/>
      <c r="CY45" s="16" t="s">
        <v>17</v>
      </c>
      <c r="CZ45" s="175"/>
      <c r="DA45" s="17" t="str">
        <f t="shared" si="169"/>
        <v>-</v>
      </c>
      <c r="DB45" s="170"/>
      <c r="DC45" s="175"/>
      <c r="DD45" s="16" t="s">
        <v>17</v>
      </c>
      <c r="DE45" s="175"/>
      <c r="DF45" s="17" t="str">
        <f t="shared" si="170"/>
        <v>-</v>
      </c>
      <c r="DG45" s="170"/>
      <c r="DH45" s="175"/>
      <c r="DI45" s="16" t="s">
        <v>17</v>
      </c>
      <c r="DJ45" s="175"/>
      <c r="DK45" s="17" t="str">
        <f t="shared" si="171"/>
        <v>-</v>
      </c>
      <c r="DL45" s="170"/>
      <c r="DM45" s="175"/>
      <c r="DN45" s="16" t="s">
        <v>17</v>
      </c>
      <c r="DO45" s="175"/>
      <c r="DP45" s="17" t="str">
        <f t="shared" si="172"/>
        <v>-</v>
      </c>
      <c r="DQ45" s="170"/>
      <c r="DR45" s="175"/>
      <c r="DS45" s="16" t="s">
        <v>17</v>
      </c>
      <c r="DT45" s="175"/>
      <c r="DU45" s="17" t="str">
        <f t="shared" si="173"/>
        <v>-</v>
      </c>
      <c r="DV45" s="170"/>
      <c r="DW45" s="175"/>
      <c r="DX45" s="16" t="s">
        <v>17</v>
      </c>
      <c r="DY45" s="175"/>
      <c r="DZ45" s="17" t="str">
        <f t="shared" si="174"/>
        <v>-</v>
      </c>
      <c r="EA45" s="166"/>
      <c r="EB45" s="175"/>
      <c r="EC45" s="16" t="s">
        <v>17</v>
      </c>
      <c r="ED45" s="175"/>
      <c r="EE45" s="17" t="str">
        <f t="shared" si="175"/>
        <v>-</v>
      </c>
      <c r="EF45" s="166"/>
      <c r="EG45" s="175"/>
      <c r="EH45" s="16" t="s">
        <v>17</v>
      </c>
      <c r="EI45" s="175"/>
      <c r="EJ45" s="17" t="str">
        <f t="shared" si="176"/>
        <v>-</v>
      </c>
      <c r="EK45" s="166"/>
      <c r="EL45" s="175"/>
      <c r="EM45" s="16" t="s">
        <v>17</v>
      </c>
      <c r="EN45" s="175"/>
      <c r="EO45" s="17" t="str">
        <f t="shared" si="177"/>
        <v>-</v>
      </c>
      <c r="EP45" s="166"/>
      <c r="EQ45" s="175"/>
      <c r="ER45" s="16" t="s">
        <v>17</v>
      </c>
      <c r="ES45" s="175"/>
      <c r="ET45" s="17" t="str">
        <f t="shared" si="178"/>
        <v>-</v>
      </c>
      <c r="EU45" s="166"/>
      <c r="EV45" s="13"/>
      <c r="EW45" s="14" t="s">
        <v>17</v>
      </c>
      <c r="EX45" s="13"/>
      <c r="EY45" s="19" t="str">
        <f t="shared" si="179"/>
        <v>-</v>
      </c>
      <c r="EZ45" s="166"/>
      <c r="FA45" s="8"/>
    </row>
    <row r="46" spans="1:157" ht="17.399999999999999">
      <c r="A46" s="103" t="s">
        <v>97</v>
      </c>
      <c r="B46" s="104"/>
      <c r="C46" s="105" t="s">
        <v>17</v>
      </c>
      <c r="D46" s="104"/>
      <c r="E46" s="103" t="s">
        <v>95</v>
      </c>
      <c r="F46" s="166"/>
      <c r="G46" s="104"/>
      <c r="H46" s="105" t="s">
        <v>17</v>
      </c>
      <c r="I46" s="104"/>
      <c r="J46" s="106" t="str">
        <f t="shared" si="150"/>
        <v>-</v>
      </c>
      <c r="K46" s="220"/>
      <c r="L46" s="104"/>
      <c r="M46" s="105" t="s">
        <v>17</v>
      </c>
      <c r="N46" s="104"/>
      <c r="O46" s="106" t="str">
        <f t="shared" si="151"/>
        <v>-</v>
      </c>
      <c r="P46" s="220"/>
      <c r="Q46" s="104"/>
      <c r="R46" s="105" t="s">
        <v>17</v>
      </c>
      <c r="S46" s="104"/>
      <c r="T46" s="106" t="str">
        <f t="shared" si="152"/>
        <v>-</v>
      </c>
      <c r="U46" s="220"/>
      <c r="V46" s="104"/>
      <c r="W46" s="105" t="s">
        <v>17</v>
      </c>
      <c r="X46" s="104"/>
      <c r="Y46" s="106" t="str">
        <f t="shared" si="153"/>
        <v>-</v>
      </c>
      <c r="Z46" s="220"/>
      <c r="AA46" s="104"/>
      <c r="AB46" s="105" t="s">
        <v>17</v>
      </c>
      <c r="AC46" s="104"/>
      <c r="AD46" s="106" t="str">
        <f t="shared" si="154"/>
        <v>-</v>
      </c>
      <c r="AE46" s="220"/>
      <c r="AF46" s="104"/>
      <c r="AG46" s="105" t="s">
        <v>17</v>
      </c>
      <c r="AH46" s="104"/>
      <c r="AI46" s="106" t="str">
        <f t="shared" si="155"/>
        <v>-</v>
      </c>
      <c r="AJ46" s="220"/>
      <c r="AK46" s="104"/>
      <c r="AL46" s="105" t="s">
        <v>17</v>
      </c>
      <c r="AM46" s="104"/>
      <c r="AN46" s="106" t="str">
        <f t="shared" si="156"/>
        <v>-</v>
      </c>
      <c r="AO46" s="220"/>
      <c r="AP46" s="104"/>
      <c r="AQ46" s="105" t="s">
        <v>17</v>
      </c>
      <c r="AR46" s="104"/>
      <c r="AS46" s="106" t="str">
        <f t="shared" si="157"/>
        <v>-</v>
      </c>
      <c r="AT46" s="220"/>
      <c r="AU46" s="104"/>
      <c r="AV46" s="105" t="s">
        <v>17</v>
      </c>
      <c r="AW46" s="104"/>
      <c r="AX46" s="106" t="str">
        <f t="shared" si="158"/>
        <v>-</v>
      </c>
      <c r="AY46" s="168"/>
      <c r="AZ46" s="104"/>
      <c r="BA46" s="105" t="s">
        <v>17</v>
      </c>
      <c r="BB46" s="104"/>
      <c r="BC46" s="106" t="str">
        <f t="shared" si="159"/>
        <v>-</v>
      </c>
      <c r="BD46" s="169"/>
      <c r="BE46" s="104"/>
      <c r="BF46" s="105" t="s">
        <v>17</v>
      </c>
      <c r="BG46" s="104"/>
      <c r="BH46" s="107" t="str">
        <f t="shared" si="160"/>
        <v>-</v>
      </c>
      <c r="BI46" s="169"/>
      <c r="BJ46" s="104"/>
      <c r="BK46" s="105" t="s">
        <v>17</v>
      </c>
      <c r="BL46" s="104"/>
      <c r="BM46" s="107" t="str">
        <f t="shared" si="161"/>
        <v>-</v>
      </c>
      <c r="BN46" s="169"/>
      <c r="BO46" s="104"/>
      <c r="BP46" s="105" t="s">
        <v>17</v>
      </c>
      <c r="BQ46" s="104"/>
      <c r="BR46" s="107" t="str">
        <f t="shared" si="162"/>
        <v>-</v>
      </c>
      <c r="BS46" s="169"/>
      <c r="BT46" s="104"/>
      <c r="BU46" s="105" t="s">
        <v>17</v>
      </c>
      <c r="BV46" s="104"/>
      <c r="BW46" s="107" t="str">
        <f t="shared" si="163"/>
        <v>-</v>
      </c>
      <c r="BX46" s="166"/>
      <c r="BY46" s="221"/>
      <c r="BZ46" s="222" t="s">
        <v>17</v>
      </c>
      <c r="CA46" s="221"/>
      <c r="CB46" s="106" t="str">
        <f t="shared" si="164"/>
        <v>-</v>
      </c>
      <c r="CC46" s="170"/>
      <c r="CD46" s="221"/>
      <c r="CE46" s="222" t="s">
        <v>17</v>
      </c>
      <c r="CF46" s="221"/>
      <c r="CG46" s="106" t="str">
        <f t="shared" si="165"/>
        <v>-</v>
      </c>
      <c r="CH46" s="170"/>
      <c r="CI46" s="221"/>
      <c r="CJ46" s="222" t="s">
        <v>17</v>
      </c>
      <c r="CK46" s="221"/>
      <c r="CL46" s="106" t="str">
        <f t="shared" si="166"/>
        <v>-</v>
      </c>
      <c r="CM46" s="170"/>
      <c r="CN46" s="221"/>
      <c r="CO46" s="222" t="s">
        <v>17</v>
      </c>
      <c r="CP46" s="221"/>
      <c r="CQ46" s="106" t="str">
        <f t="shared" si="167"/>
        <v>-</v>
      </c>
      <c r="CR46" s="170"/>
      <c r="CS46" s="221"/>
      <c r="CT46" s="222" t="s">
        <v>17</v>
      </c>
      <c r="CU46" s="221"/>
      <c r="CV46" s="106" t="str">
        <f t="shared" si="168"/>
        <v>-</v>
      </c>
      <c r="CW46" s="170"/>
      <c r="CX46" s="221"/>
      <c r="CY46" s="222" t="s">
        <v>17</v>
      </c>
      <c r="CZ46" s="221"/>
      <c r="DA46" s="106" t="str">
        <f t="shared" si="169"/>
        <v>-</v>
      </c>
      <c r="DB46" s="170"/>
      <c r="DC46" s="221"/>
      <c r="DD46" s="222" t="s">
        <v>17</v>
      </c>
      <c r="DE46" s="221"/>
      <c r="DF46" s="106" t="str">
        <f t="shared" si="170"/>
        <v>-</v>
      </c>
      <c r="DG46" s="170"/>
      <c r="DH46" s="221"/>
      <c r="DI46" s="222" t="s">
        <v>17</v>
      </c>
      <c r="DJ46" s="221"/>
      <c r="DK46" s="106" t="str">
        <f t="shared" si="171"/>
        <v>-</v>
      </c>
      <c r="DL46" s="170"/>
      <c r="DM46" s="221"/>
      <c r="DN46" s="222" t="s">
        <v>17</v>
      </c>
      <c r="DO46" s="221"/>
      <c r="DP46" s="106" t="str">
        <f t="shared" si="172"/>
        <v>-</v>
      </c>
      <c r="DQ46" s="170"/>
      <c r="DR46" s="221"/>
      <c r="DS46" s="222" t="s">
        <v>17</v>
      </c>
      <c r="DT46" s="221"/>
      <c r="DU46" s="106" t="str">
        <f t="shared" si="173"/>
        <v>-</v>
      </c>
      <c r="DV46" s="170"/>
      <c r="DW46" s="221"/>
      <c r="DX46" s="222" t="s">
        <v>17</v>
      </c>
      <c r="DY46" s="221"/>
      <c r="DZ46" s="106" t="str">
        <f t="shared" si="174"/>
        <v>-</v>
      </c>
      <c r="EA46" s="166"/>
      <c r="EB46" s="221"/>
      <c r="EC46" s="222" t="s">
        <v>17</v>
      </c>
      <c r="ED46" s="221"/>
      <c r="EE46" s="106" t="str">
        <f t="shared" si="175"/>
        <v>-</v>
      </c>
      <c r="EF46" s="166"/>
      <c r="EG46" s="221"/>
      <c r="EH46" s="222" t="s">
        <v>17</v>
      </c>
      <c r="EI46" s="221"/>
      <c r="EJ46" s="106" t="str">
        <f t="shared" si="176"/>
        <v>-</v>
      </c>
      <c r="EK46" s="166"/>
      <c r="EL46" s="221"/>
      <c r="EM46" s="222" t="s">
        <v>17</v>
      </c>
      <c r="EN46" s="221"/>
      <c r="EO46" s="106" t="str">
        <f t="shared" si="177"/>
        <v>-</v>
      </c>
      <c r="EP46" s="166"/>
      <c r="EQ46" s="221"/>
      <c r="ER46" s="222" t="s">
        <v>17</v>
      </c>
      <c r="ES46" s="221"/>
      <c r="ET46" s="106" t="str">
        <f t="shared" si="178"/>
        <v>-</v>
      </c>
      <c r="EU46" s="166"/>
      <c r="EV46" s="104"/>
      <c r="EW46" s="105" t="s">
        <v>17</v>
      </c>
      <c r="EX46" s="104"/>
      <c r="EY46" s="107" t="str">
        <f t="shared" si="179"/>
        <v>-</v>
      </c>
      <c r="EZ46" s="166"/>
      <c r="FA46" s="8"/>
    </row>
    <row r="47" spans="1:157" ht="17.399999999999999">
      <c r="A47" s="12" t="s">
        <v>97</v>
      </c>
      <c r="B47" s="13"/>
      <c r="C47" s="14" t="s">
        <v>17</v>
      </c>
      <c r="D47" s="13"/>
      <c r="E47" s="12" t="s">
        <v>94</v>
      </c>
      <c r="F47" s="166"/>
      <c r="G47" s="13"/>
      <c r="H47" s="14" t="s">
        <v>17</v>
      </c>
      <c r="I47" s="13"/>
      <c r="J47" s="17" t="str">
        <f t="shared" si="150"/>
        <v>-</v>
      </c>
      <c r="K47" s="220"/>
      <c r="L47" s="13"/>
      <c r="M47" s="14" t="s">
        <v>17</v>
      </c>
      <c r="N47" s="13"/>
      <c r="O47" s="17" t="str">
        <f t="shared" si="151"/>
        <v>-</v>
      </c>
      <c r="P47" s="220"/>
      <c r="Q47" s="13"/>
      <c r="R47" s="14" t="s">
        <v>17</v>
      </c>
      <c r="S47" s="13"/>
      <c r="T47" s="17" t="str">
        <f t="shared" si="152"/>
        <v>-</v>
      </c>
      <c r="U47" s="220"/>
      <c r="V47" s="13"/>
      <c r="W47" s="14" t="s">
        <v>17</v>
      </c>
      <c r="X47" s="13"/>
      <c r="Y47" s="17" t="str">
        <f t="shared" si="153"/>
        <v>-</v>
      </c>
      <c r="Z47" s="220"/>
      <c r="AA47" s="13"/>
      <c r="AB47" s="14" t="s">
        <v>17</v>
      </c>
      <c r="AC47" s="13"/>
      <c r="AD47" s="17" t="str">
        <f t="shared" si="154"/>
        <v>-</v>
      </c>
      <c r="AE47" s="220"/>
      <c r="AF47" s="13"/>
      <c r="AG47" s="14" t="s">
        <v>17</v>
      </c>
      <c r="AH47" s="13"/>
      <c r="AI47" s="17" t="str">
        <f t="shared" si="155"/>
        <v>-</v>
      </c>
      <c r="AJ47" s="220"/>
      <c r="AK47" s="13"/>
      <c r="AL47" s="14" t="s">
        <v>17</v>
      </c>
      <c r="AM47" s="13"/>
      <c r="AN47" s="17" t="str">
        <f t="shared" si="156"/>
        <v>-</v>
      </c>
      <c r="AO47" s="220"/>
      <c r="AP47" s="13"/>
      <c r="AQ47" s="14" t="s">
        <v>17</v>
      </c>
      <c r="AR47" s="13"/>
      <c r="AS47" s="17" t="str">
        <f t="shared" si="157"/>
        <v>-</v>
      </c>
      <c r="AT47" s="220"/>
      <c r="AU47" s="13"/>
      <c r="AV47" s="14" t="s">
        <v>17</v>
      </c>
      <c r="AW47" s="13"/>
      <c r="AX47" s="17" t="str">
        <f t="shared" si="158"/>
        <v>-</v>
      </c>
      <c r="AY47" s="168"/>
      <c r="AZ47" s="13"/>
      <c r="BA47" s="14" t="s">
        <v>17</v>
      </c>
      <c r="BB47" s="13"/>
      <c r="BC47" s="17" t="str">
        <f t="shared" si="159"/>
        <v>-</v>
      </c>
      <c r="BD47" s="169"/>
      <c r="BE47" s="13"/>
      <c r="BF47" s="14" t="s">
        <v>17</v>
      </c>
      <c r="BG47" s="13"/>
      <c r="BH47" s="19" t="str">
        <f t="shared" si="160"/>
        <v>-</v>
      </c>
      <c r="BI47" s="169"/>
      <c r="BJ47" s="13"/>
      <c r="BK47" s="14" t="s">
        <v>17</v>
      </c>
      <c r="BL47" s="13"/>
      <c r="BM47" s="19" t="str">
        <f t="shared" si="161"/>
        <v>-</v>
      </c>
      <c r="BN47" s="169"/>
      <c r="BO47" s="13"/>
      <c r="BP47" s="14" t="s">
        <v>17</v>
      </c>
      <c r="BQ47" s="13"/>
      <c r="BR47" s="19" t="str">
        <f t="shared" si="162"/>
        <v>-</v>
      </c>
      <c r="BS47" s="169"/>
      <c r="BT47" s="13"/>
      <c r="BU47" s="14" t="s">
        <v>17</v>
      </c>
      <c r="BV47" s="13"/>
      <c r="BW47" s="19" t="str">
        <f t="shared" si="163"/>
        <v>-</v>
      </c>
      <c r="BX47" s="166"/>
      <c r="BY47" s="175"/>
      <c r="BZ47" s="16" t="s">
        <v>17</v>
      </c>
      <c r="CA47" s="175"/>
      <c r="CB47" s="17" t="str">
        <f t="shared" si="164"/>
        <v>-</v>
      </c>
      <c r="CC47" s="170"/>
      <c r="CD47" s="175"/>
      <c r="CE47" s="16" t="s">
        <v>17</v>
      </c>
      <c r="CF47" s="175"/>
      <c r="CG47" s="17" t="str">
        <f t="shared" si="165"/>
        <v>-</v>
      </c>
      <c r="CH47" s="170"/>
      <c r="CI47" s="175"/>
      <c r="CJ47" s="16" t="s">
        <v>17</v>
      </c>
      <c r="CK47" s="175"/>
      <c r="CL47" s="17" t="str">
        <f t="shared" si="166"/>
        <v>-</v>
      </c>
      <c r="CM47" s="170"/>
      <c r="CN47" s="175"/>
      <c r="CO47" s="16" t="s">
        <v>17</v>
      </c>
      <c r="CP47" s="175"/>
      <c r="CQ47" s="17" t="str">
        <f t="shared" si="167"/>
        <v>-</v>
      </c>
      <c r="CR47" s="170"/>
      <c r="CS47" s="175"/>
      <c r="CT47" s="16" t="s">
        <v>17</v>
      </c>
      <c r="CU47" s="175"/>
      <c r="CV47" s="17" t="str">
        <f t="shared" si="168"/>
        <v>-</v>
      </c>
      <c r="CW47" s="170"/>
      <c r="CX47" s="175"/>
      <c r="CY47" s="16" t="s">
        <v>17</v>
      </c>
      <c r="CZ47" s="175"/>
      <c r="DA47" s="17" t="str">
        <f t="shared" si="169"/>
        <v>-</v>
      </c>
      <c r="DB47" s="170"/>
      <c r="DC47" s="175"/>
      <c r="DD47" s="16" t="s">
        <v>17</v>
      </c>
      <c r="DE47" s="175"/>
      <c r="DF47" s="17" t="str">
        <f t="shared" si="170"/>
        <v>-</v>
      </c>
      <c r="DG47" s="170"/>
      <c r="DH47" s="175"/>
      <c r="DI47" s="16" t="s">
        <v>17</v>
      </c>
      <c r="DJ47" s="175"/>
      <c r="DK47" s="17" t="str">
        <f t="shared" si="171"/>
        <v>-</v>
      </c>
      <c r="DL47" s="170"/>
      <c r="DM47" s="175"/>
      <c r="DN47" s="16" t="s">
        <v>17</v>
      </c>
      <c r="DO47" s="175"/>
      <c r="DP47" s="17" t="str">
        <f t="shared" si="172"/>
        <v>-</v>
      </c>
      <c r="DQ47" s="170"/>
      <c r="DR47" s="175"/>
      <c r="DS47" s="16" t="s">
        <v>17</v>
      </c>
      <c r="DT47" s="175"/>
      <c r="DU47" s="17" t="str">
        <f t="shared" si="173"/>
        <v>-</v>
      </c>
      <c r="DV47" s="170"/>
      <c r="DW47" s="175"/>
      <c r="DX47" s="16" t="s">
        <v>17</v>
      </c>
      <c r="DY47" s="175"/>
      <c r="DZ47" s="17" t="str">
        <f t="shared" si="174"/>
        <v>-</v>
      </c>
      <c r="EA47" s="166"/>
      <c r="EB47" s="175"/>
      <c r="EC47" s="16" t="s">
        <v>17</v>
      </c>
      <c r="ED47" s="175"/>
      <c r="EE47" s="17" t="str">
        <f t="shared" si="175"/>
        <v>-</v>
      </c>
      <c r="EF47" s="166"/>
      <c r="EG47" s="175"/>
      <c r="EH47" s="16" t="s">
        <v>17</v>
      </c>
      <c r="EI47" s="175"/>
      <c r="EJ47" s="17" t="str">
        <f t="shared" si="176"/>
        <v>-</v>
      </c>
      <c r="EK47" s="166"/>
      <c r="EL47" s="175"/>
      <c r="EM47" s="16" t="s">
        <v>17</v>
      </c>
      <c r="EN47" s="175"/>
      <c r="EO47" s="17" t="str">
        <f t="shared" si="177"/>
        <v>-</v>
      </c>
      <c r="EP47" s="166"/>
      <c r="EQ47" s="175"/>
      <c r="ER47" s="16" t="s">
        <v>17</v>
      </c>
      <c r="ES47" s="175"/>
      <c r="ET47" s="17" t="str">
        <f t="shared" si="178"/>
        <v>-</v>
      </c>
      <c r="EU47" s="166"/>
      <c r="EV47" s="13"/>
      <c r="EW47" s="14" t="s">
        <v>17</v>
      </c>
      <c r="EX47" s="13"/>
      <c r="EY47" s="19" t="str">
        <f t="shared" si="179"/>
        <v>-</v>
      </c>
      <c r="EZ47" s="166"/>
      <c r="FA47" s="8"/>
    </row>
    <row r="48" spans="1:157" ht="17.399999999999999">
      <c r="A48" s="103" t="s">
        <v>95</v>
      </c>
      <c r="B48" s="104"/>
      <c r="C48" s="105" t="s">
        <v>17</v>
      </c>
      <c r="D48" s="104"/>
      <c r="E48" s="103" t="s">
        <v>96</v>
      </c>
      <c r="F48" s="166"/>
      <c r="G48" s="104"/>
      <c r="H48" s="105" t="s">
        <v>17</v>
      </c>
      <c r="I48" s="104"/>
      <c r="J48" s="106" t="str">
        <f t="shared" si="150"/>
        <v>-</v>
      </c>
      <c r="K48" s="220"/>
      <c r="L48" s="104"/>
      <c r="M48" s="105" t="s">
        <v>17</v>
      </c>
      <c r="N48" s="104"/>
      <c r="O48" s="106" t="str">
        <f t="shared" si="151"/>
        <v>-</v>
      </c>
      <c r="P48" s="220"/>
      <c r="Q48" s="104"/>
      <c r="R48" s="105" t="s">
        <v>17</v>
      </c>
      <c r="S48" s="104"/>
      <c r="T48" s="106" t="str">
        <f t="shared" si="152"/>
        <v>-</v>
      </c>
      <c r="U48" s="220"/>
      <c r="V48" s="104"/>
      <c r="W48" s="105" t="s">
        <v>17</v>
      </c>
      <c r="X48" s="104"/>
      <c r="Y48" s="106" t="str">
        <f t="shared" si="153"/>
        <v>-</v>
      </c>
      <c r="Z48" s="220"/>
      <c r="AA48" s="104"/>
      <c r="AB48" s="105" t="s">
        <v>17</v>
      </c>
      <c r="AC48" s="104"/>
      <c r="AD48" s="106" t="str">
        <f t="shared" si="154"/>
        <v>-</v>
      </c>
      <c r="AE48" s="220"/>
      <c r="AF48" s="104"/>
      <c r="AG48" s="105" t="s">
        <v>17</v>
      </c>
      <c r="AH48" s="104"/>
      <c r="AI48" s="106" t="str">
        <f t="shared" si="155"/>
        <v>-</v>
      </c>
      <c r="AJ48" s="220"/>
      <c r="AK48" s="104"/>
      <c r="AL48" s="105" t="s">
        <v>17</v>
      </c>
      <c r="AM48" s="104"/>
      <c r="AN48" s="106" t="str">
        <f t="shared" si="156"/>
        <v>-</v>
      </c>
      <c r="AO48" s="220"/>
      <c r="AP48" s="104"/>
      <c r="AQ48" s="105" t="s">
        <v>17</v>
      </c>
      <c r="AR48" s="104"/>
      <c r="AS48" s="106" t="str">
        <f t="shared" si="157"/>
        <v>-</v>
      </c>
      <c r="AT48" s="220"/>
      <c r="AU48" s="104"/>
      <c r="AV48" s="105" t="s">
        <v>17</v>
      </c>
      <c r="AW48" s="104"/>
      <c r="AX48" s="106" t="str">
        <f t="shared" si="158"/>
        <v>-</v>
      </c>
      <c r="AY48" s="168"/>
      <c r="AZ48" s="104"/>
      <c r="BA48" s="105" t="s">
        <v>17</v>
      </c>
      <c r="BB48" s="104"/>
      <c r="BC48" s="106" t="str">
        <f t="shared" si="159"/>
        <v>-</v>
      </c>
      <c r="BD48" s="169"/>
      <c r="BE48" s="104"/>
      <c r="BF48" s="105" t="s">
        <v>17</v>
      </c>
      <c r="BG48" s="104"/>
      <c r="BH48" s="107" t="str">
        <f t="shared" si="160"/>
        <v>-</v>
      </c>
      <c r="BI48" s="169"/>
      <c r="BJ48" s="104"/>
      <c r="BK48" s="105" t="s">
        <v>17</v>
      </c>
      <c r="BL48" s="104"/>
      <c r="BM48" s="107" t="str">
        <f t="shared" si="161"/>
        <v>-</v>
      </c>
      <c r="BN48" s="169"/>
      <c r="BO48" s="104"/>
      <c r="BP48" s="105" t="s">
        <v>17</v>
      </c>
      <c r="BQ48" s="104"/>
      <c r="BR48" s="107" t="str">
        <f t="shared" si="162"/>
        <v>-</v>
      </c>
      <c r="BS48" s="169"/>
      <c r="BT48" s="104"/>
      <c r="BU48" s="105" t="s">
        <v>17</v>
      </c>
      <c r="BV48" s="104"/>
      <c r="BW48" s="107" t="str">
        <f t="shared" si="163"/>
        <v>-</v>
      </c>
      <c r="BX48" s="166"/>
      <c r="BY48" s="221"/>
      <c r="BZ48" s="222" t="s">
        <v>17</v>
      </c>
      <c r="CA48" s="221"/>
      <c r="CB48" s="106" t="str">
        <f t="shared" si="164"/>
        <v>-</v>
      </c>
      <c r="CC48" s="170"/>
      <c r="CD48" s="221"/>
      <c r="CE48" s="222" t="s">
        <v>17</v>
      </c>
      <c r="CF48" s="221"/>
      <c r="CG48" s="106" t="str">
        <f t="shared" si="165"/>
        <v>-</v>
      </c>
      <c r="CH48" s="170"/>
      <c r="CI48" s="221"/>
      <c r="CJ48" s="222" t="s">
        <v>17</v>
      </c>
      <c r="CK48" s="221"/>
      <c r="CL48" s="106" t="str">
        <f t="shared" si="166"/>
        <v>-</v>
      </c>
      <c r="CM48" s="170"/>
      <c r="CN48" s="221"/>
      <c r="CO48" s="222" t="s">
        <v>17</v>
      </c>
      <c r="CP48" s="221"/>
      <c r="CQ48" s="106" t="str">
        <f t="shared" si="167"/>
        <v>-</v>
      </c>
      <c r="CR48" s="170"/>
      <c r="CS48" s="221"/>
      <c r="CT48" s="222" t="s">
        <v>17</v>
      </c>
      <c r="CU48" s="221"/>
      <c r="CV48" s="106" t="str">
        <f t="shared" si="168"/>
        <v>-</v>
      </c>
      <c r="CW48" s="170"/>
      <c r="CX48" s="221"/>
      <c r="CY48" s="222" t="s">
        <v>17</v>
      </c>
      <c r="CZ48" s="221"/>
      <c r="DA48" s="106" t="str">
        <f t="shared" si="169"/>
        <v>-</v>
      </c>
      <c r="DB48" s="170"/>
      <c r="DC48" s="221"/>
      <c r="DD48" s="222" t="s">
        <v>17</v>
      </c>
      <c r="DE48" s="221"/>
      <c r="DF48" s="106" t="str">
        <f t="shared" si="170"/>
        <v>-</v>
      </c>
      <c r="DG48" s="170"/>
      <c r="DH48" s="221"/>
      <c r="DI48" s="222" t="s">
        <v>17</v>
      </c>
      <c r="DJ48" s="221"/>
      <c r="DK48" s="106" t="str">
        <f t="shared" si="171"/>
        <v>-</v>
      </c>
      <c r="DL48" s="170"/>
      <c r="DM48" s="221"/>
      <c r="DN48" s="222" t="s">
        <v>17</v>
      </c>
      <c r="DO48" s="221"/>
      <c r="DP48" s="106" t="str">
        <f t="shared" si="172"/>
        <v>-</v>
      </c>
      <c r="DQ48" s="170"/>
      <c r="DR48" s="221"/>
      <c r="DS48" s="222" t="s">
        <v>17</v>
      </c>
      <c r="DT48" s="221"/>
      <c r="DU48" s="106" t="str">
        <f t="shared" si="173"/>
        <v>-</v>
      </c>
      <c r="DV48" s="170"/>
      <c r="DW48" s="221"/>
      <c r="DX48" s="222" t="s">
        <v>17</v>
      </c>
      <c r="DY48" s="221"/>
      <c r="DZ48" s="106" t="str">
        <f t="shared" si="174"/>
        <v>-</v>
      </c>
      <c r="EA48" s="166"/>
      <c r="EB48" s="221"/>
      <c r="EC48" s="222" t="s">
        <v>17</v>
      </c>
      <c r="ED48" s="221"/>
      <c r="EE48" s="106" t="str">
        <f t="shared" si="175"/>
        <v>-</v>
      </c>
      <c r="EF48" s="166"/>
      <c r="EG48" s="221"/>
      <c r="EH48" s="222" t="s">
        <v>17</v>
      </c>
      <c r="EI48" s="221"/>
      <c r="EJ48" s="106" t="str">
        <f t="shared" si="176"/>
        <v>-</v>
      </c>
      <c r="EK48" s="166"/>
      <c r="EL48" s="221"/>
      <c r="EM48" s="222" t="s">
        <v>17</v>
      </c>
      <c r="EN48" s="221"/>
      <c r="EO48" s="106" t="str">
        <f t="shared" si="177"/>
        <v>-</v>
      </c>
      <c r="EP48" s="166"/>
      <c r="EQ48" s="221"/>
      <c r="ER48" s="222" t="s">
        <v>17</v>
      </c>
      <c r="ES48" s="221"/>
      <c r="ET48" s="106" t="str">
        <f t="shared" si="178"/>
        <v>-</v>
      </c>
      <c r="EU48" s="166"/>
      <c r="EV48" s="104"/>
      <c r="EW48" s="105" t="s">
        <v>17</v>
      </c>
      <c r="EX48" s="104"/>
      <c r="EY48" s="107" t="str">
        <f t="shared" si="179"/>
        <v>-</v>
      </c>
      <c r="EZ48" s="166"/>
      <c r="FA48" s="8"/>
    </row>
    <row r="49" spans="1:157" ht="17.399999999999999">
      <c r="A49" s="108"/>
      <c r="B49" s="108"/>
      <c r="C49" s="109"/>
      <c r="D49" s="108"/>
      <c r="E49" s="108"/>
      <c r="F49" s="166"/>
      <c r="G49" s="316">
        <f>SUM(J43:J48)</f>
        <v>0</v>
      </c>
      <c r="H49" s="301"/>
      <c r="I49" s="301"/>
      <c r="J49" s="179"/>
      <c r="K49" s="180"/>
      <c r="L49" s="316">
        <f>SUM(O43:O48)</f>
        <v>0</v>
      </c>
      <c r="M49" s="301"/>
      <c r="N49" s="301"/>
      <c r="O49" s="179"/>
      <c r="P49" s="180"/>
      <c r="Q49" s="316">
        <f>SUM(T43:T48)</f>
        <v>0</v>
      </c>
      <c r="R49" s="301"/>
      <c r="S49" s="301"/>
      <c r="T49" s="179"/>
      <c r="U49" s="180"/>
      <c r="V49" s="316">
        <f>SUM(Y43:Y48)</f>
        <v>0</v>
      </c>
      <c r="W49" s="301"/>
      <c r="X49" s="301"/>
      <c r="Y49" s="179"/>
      <c r="Z49" s="180"/>
      <c r="AA49" s="316">
        <f>SUM(AD43:AD48)</f>
        <v>0</v>
      </c>
      <c r="AB49" s="301"/>
      <c r="AC49" s="301"/>
      <c r="AD49" s="179"/>
      <c r="AE49" s="180"/>
      <c r="AF49" s="316">
        <f>SUM(AI43:AI48)</f>
        <v>0</v>
      </c>
      <c r="AG49" s="301"/>
      <c r="AH49" s="301"/>
      <c r="AI49" s="179"/>
      <c r="AJ49" s="180"/>
      <c r="AK49" s="316">
        <f>SUM(AN43:AN48)</f>
        <v>0</v>
      </c>
      <c r="AL49" s="301"/>
      <c r="AM49" s="301"/>
      <c r="AN49" s="179"/>
      <c r="AO49" s="180"/>
      <c r="AP49" s="316">
        <f>SUM(AS43:AS48)</f>
        <v>0</v>
      </c>
      <c r="AQ49" s="301"/>
      <c r="AR49" s="301"/>
      <c r="AS49" s="181"/>
      <c r="AT49" s="180"/>
      <c r="AU49" s="316">
        <f>SUM(AX43:AX48)</f>
        <v>0</v>
      </c>
      <c r="AV49" s="301"/>
      <c r="AW49" s="301"/>
      <c r="AX49" s="182"/>
      <c r="AY49" s="168"/>
      <c r="AZ49" s="316">
        <f>SUM(BC43:BC48)</f>
        <v>0</v>
      </c>
      <c r="BA49" s="301"/>
      <c r="BB49" s="301"/>
      <c r="BC49" s="182"/>
      <c r="BD49" s="169"/>
      <c r="BE49" s="316">
        <f>SUM(BH43:BH48)</f>
        <v>0</v>
      </c>
      <c r="BF49" s="301"/>
      <c r="BG49" s="301"/>
      <c r="BH49" s="182"/>
      <c r="BI49" s="169"/>
      <c r="BJ49" s="316">
        <f>SUM(BM43:BM48)</f>
        <v>0</v>
      </c>
      <c r="BK49" s="301"/>
      <c r="BL49" s="301"/>
      <c r="BM49" s="182"/>
      <c r="BN49" s="169"/>
      <c r="BO49" s="316">
        <f>SUM(BR43:BR48)</f>
        <v>0</v>
      </c>
      <c r="BP49" s="301"/>
      <c r="BQ49" s="301"/>
      <c r="BR49" s="182"/>
      <c r="BS49" s="169"/>
      <c r="BT49" s="316">
        <f>SUM(BW43:BW48)</f>
        <v>0</v>
      </c>
      <c r="BU49" s="301"/>
      <c r="BV49" s="301"/>
      <c r="BW49" s="182"/>
      <c r="BX49" s="166"/>
      <c r="BY49" s="316">
        <f>SUM(CB43:CB48)</f>
        <v>0</v>
      </c>
      <c r="BZ49" s="301"/>
      <c r="CA49" s="301"/>
      <c r="CB49" s="182"/>
      <c r="CC49" s="183"/>
      <c r="CD49" s="316">
        <f>SUM(CG43:CG48)</f>
        <v>0</v>
      </c>
      <c r="CE49" s="301"/>
      <c r="CF49" s="301"/>
      <c r="CG49" s="182"/>
      <c r="CH49" s="183"/>
      <c r="CI49" s="316">
        <f>SUM(CL43:CL48)</f>
        <v>0</v>
      </c>
      <c r="CJ49" s="301"/>
      <c r="CK49" s="301"/>
      <c r="CL49" s="182"/>
      <c r="CM49" s="183"/>
      <c r="CN49" s="316">
        <f>SUM(CQ43:CQ48)</f>
        <v>0</v>
      </c>
      <c r="CO49" s="301"/>
      <c r="CP49" s="301"/>
      <c r="CQ49" s="182"/>
      <c r="CR49" s="183"/>
      <c r="CS49" s="316">
        <f>SUM(CV43:CV48)</f>
        <v>0</v>
      </c>
      <c r="CT49" s="301"/>
      <c r="CU49" s="301"/>
      <c r="CV49" s="182"/>
      <c r="CW49" s="183"/>
      <c r="CX49" s="316">
        <f>SUM(DA43:DA48)</f>
        <v>0</v>
      </c>
      <c r="CY49" s="301"/>
      <c r="CZ49" s="301"/>
      <c r="DA49" s="182"/>
      <c r="DB49" s="183"/>
      <c r="DC49" s="316">
        <f>SUM(DF43:DF48)</f>
        <v>0</v>
      </c>
      <c r="DD49" s="301"/>
      <c r="DE49" s="301"/>
      <c r="DF49" s="182"/>
      <c r="DG49" s="183"/>
      <c r="DH49" s="316">
        <f>SUM(DK43:DK48)</f>
        <v>0</v>
      </c>
      <c r="DI49" s="301"/>
      <c r="DJ49" s="301"/>
      <c r="DK49" s="182"/>
      <c r="DL49" s="183"/>
      <c r="DM49" s="316">
        <f>SUM(DP43:DP48)</f>
        <v>0</v>
      </c>
      <c r="DN49" s="301"/>
      <c r="DO49" s="301"/>
      <c r="DP49" s="182"/>
      <c r="DQ49" s="183"/>
      <c r="DR49" s="316">
        <f>SUM(DU43:DU48)</f>
        <v>0</v>
      </c>
      <c r="DS49" s="301"/>
      <c r="DT49" s="301"/>
      <c r="DU49" s="182"/>
      <c r="DV49" s="183"/>
      <c r="DW49" s="316">
        <f>SUM(DZ43:DZ48)</f>
        <v>0</v>
      </c>
      <c r="DX49" s="301"/>
      <c r="DY49" s="301"/>
      <c r="DZ49" s="182"/>
      <c r="EA49" s="166"/>
      <c r="EB49" s="316">
        <f>SUM(EE43:EE48)</f>
        <v>0</v>
      </c>
      <c r="EC49" s="301"/>
      <c r="ED49" s="301"/>
      <c r="EE49" s="182"/>
      <c r="EF49" s="166"/>
      <c r="EG49" s="316">
        <f>SUM(EJ43:EJ48)</f>
        <v>0</v>
      </c>
      <c r="EH49" s="301"/>
      <c r="EI49" s="301"/>
      <c r="EJ49" s="182"/>
      <c r="EK49" s="166"/>
      <c r="EL49" s="316">
        <f>SUM(EO43:EO48)</f>
        <v>0</v>
      </c>
      <c r="EM49" s="301"/>
      <c r="EN49" s="301"/>
      <c r="EO49" s="182"/>
      <c r="EP49" s="166"/>
      <c r="EQ49" s="316">
        <f>SUM(ET43:ET48)</f>
        <v>0</v>
      </c>
      <c r="ER49" s="301"/>
      <c r="ES49" s="301"/>
      <c r="ET49" s="182"/>
      <c r="EU49" s="166"/>
      <c r="EV49" s="316">
        <f>SUM(EY43:EY48)</f>
        <v>0</v>
      </c>
      <c r="EW49" s="301"/>
      <c r="EX49" s="301"/>
      <c r="EY49" s="182"/>
      <c r="EZ49" s="166"/>
      <c r="FA49" s="8"/>
    </row>
    <row r="50" spans="1:157" ht="17.399999999999999">
      <c r="A50" s="305" t="s">
        <v>46</v>
      </c>
      <c r="B50" s="301"/>
      <c r="C50" s="301"/>
      <c r="D50" s="301"/>
      <c r="E50" s="301"/>
      <c r="F50" s="166"/>
      <c r="G50" s="116"/>
      <c r="H50" s="116"/>
      <c r="I50" s="116"/>
      <c r="J50" s="113"/>
      <c r="K50" s="216"/>
      <c r="L50" s="116"/>
      <c r="M50" s="116"/>
      <c r="N50" s="116"/>
      <c r="O50" s="113"/>
      <c r="P50" s="216"/>
      <c r="Q50" s="116"/>
      <c r="R50" s="116"/>
      <c r="S50" s="116"/>
      <c r="T50" s="113"/>
      <c r="U50" s="216"/>
      <c r="V50" s="116"/>
      <c r="W50" s="116"/>
      <c r="X50" s="116"/>
      <c r="Y50" s="113"/>
      <c r="Z50" s="216"/>
      <c r="AA50" s="116"/>
      <c r="AB50" s="116"/>
      <c r="AC50" s="116"/>
      <c r="AD50" s="113"/>
      <c r="AE50" s="116"/>
      <c r="AF50" s="116"/>
      <c r="AG50" s="116"/>
      <c r="AH50" s="116"/>
      <c r="AI50" s="113"/>
      <c r="AJ50" s="216"/>
      <c r="AK50" s="116"/>
      <c r="AL50" s="116"/>
      <c r="AM50" s="116"/>
      <c r="AN50" s="113"/>
      <c r="AO50" s="216"/>
      <c r="AP50" s="116"/>
      <c r="AQ50" s="116"/>
      <c r="AR50" s="116"/>
      <c r="AS50" s="113"/>
      <c r="AT50" s="181"/>
      <c r="AU50" s="223"/>
      <c r="AV50" s="223"/>
      <c r="AW50" s="223"/>
      <c r="AX50" s="113"/>
      <c r="AY50" s="168"/>
      <c r="AZ50" s="116"/>
      <c r="BA50" s="116"/>
      <c r="BB50" s="116"/>
      <c r="BC50" s="113"/>
      <c r="BD50" s="169"/>
      <c r="BE50" s="116"/>
      <c r="BF50" s="116"/>
      <c r="BG50" s="116"/>
      <c r="BH50" s="116"/>
      <c r="BI50" s="169"/>
      <c r="BJ50" s="116"/>
      <c r="BK50" s="116"/>
      <c r="BL50" s="116"/>
      <c r="BM50" s="116"/>
      <c r="BN50" s="169"/>
      <c r="BO50" s="116"/>
      <c r="BP50" s="116"/>
      <c r="BQ50" s="116"/>
      <c r="BR50" s="116"/>
      <c r="BS50" s="169"/>
      <c r="BT50" s="116"/>
      <c r="BU50" s="116"/>
      <c r="BV50" s="116"/>
      <c r="BW50" s="116"/>
      <c r="BX50" s="166"/>
      <c r="BY50" s="224"/>
      <c r="BZ50" s="224"/>
      <c r="CA50" s="224"/>
      <c r="CB50" s="225"/>
      <c r="CC50" s="183"/>
      <c r="CD50" s="224"/>
      <c r="CE50" s="224"/>
      <c r="CF50" s="224"/>
      <c r="CG50" s="225"/>
      <c r="CH50" s="183"/>
      <c r="CI50" s="224"/>
      <c r="CJ50" s="224"/>
      <c r="CK50" s="224"/>
      <c r="CL50" s="225"/>
      <c r="CM50" s="183"/>
      <c r="CN50" s="224"/>
      <c r="CO50" s="224"/>
      <c r="CP50" s="224"/>
      <c r="CQ50" s="225"/>
      <c r="CR50" s="183"/>
      <c r="CS50" s="224"/>
      <c r="CT50" s="224"/>
      <c r="CU50" s="224"/>
      <c r="CV50" s="225"/>
      <c r="CW50" s="183"/>
      <c r="CX50" s="224"/>
      <c r="CY50" s="224"/>
      <c r="CZ50" s="224"/>
      <c r="DA50" s="224"/>
      <c r="DB50" s="183"/>
      <c r="DC50" s="224"/>
      <c r="DD50" s="224"/>
      <c r="DE50" s="224"/>
      <c r="DF50" s="225"/>
      <c r="DG50" s="183"/>
      <c r="DH50" s="224"/>
      <c r="DI50" s="224"/>
      <c r="DJ50" s="224"/>
      <c r="DK50" s="224"/>
      <c r="DL50" s="183"/>
      <c r="DM50" s="224"/>
      <c r="DN50" s="224"/>
      <c r="DO50" s="224"/>
      <c r="DP50" s="110"/>
      <c r="DQ50" s="183"/>
      <c r="DR50" s="224"/>
      <c r="DS50" s="224"/>
      <c r="DT50" s="224"/>
      <c r="DU50" s="110"/>
      <c r="DV50" s="183"/>
      <c r="DW50" s="224"/>
      <c r="DX50" s="224"/>
      <c r="DY50" s="224"/>
      <c r="DZ50" s="110"/>
      <c r="EA50" s="166"/>
      <c r="EB50" s="224"/>
      <c r="EC50" s="224"/>
      <c r="ED50" s="224"/>
      <c r="EE50" s="116"/>
      <c r="EF50" s="166"/>
      <c r="EG50" s="224"/>
      <c r="EH50" s="224"/>
      <c r="EI50" s="224"/>
      <c r="EJ50" s="110"/>
      <c r="EK50" s="166"/>
      <c r="EL50" s="224"/>
      <c r="EM50" s="224"/>
      <c r="EN50" s="224"/>
      <c r="EO50" s="110"/>
      <c r="EP50" s="166"/>
      <c r="EQ50" s="224"/>
      <c r="ER50" s="224"/>
      <c r="ES50" s="224"/>
      <c r="ET50" s="110"/>
      <c r="EU50" s="166"/>
      <c r="EV50" s="116"/>
      <c r="EW50" s="116"/>
      <c r="EX50" s="116"/>
      <c r="EY50" s="116"/>
      <c r="EZ50" s="166"/>
      <c r="FA50" s="8"/>
    </row>
    <row r="51" spans="1:157" ht="17.399999999999999">
      <c r="A51" s="12" t="s">
        <v>98</v>
      </c>
      <c r="B51" s="13"/>
      <c r="C51" s="14" t="s">
        <v>17</v>
      </c>
      <c r="D51" s="13"/>
      <c r="E51" s="12" t="s">
        <v>99</v>
      </c>
      <c r="F51" s="166"/>
      <c r="G51" s="13"/>
      <c r="H51" s="14" t="s">
        <v>17</v>
      </c>
      <c r="I51" s="13"/>
      <c r="J51" s="17" t="str">
        <f t="shared" ref="J51:J56" si="180">IF(OR(B51="", D51=""), "-",
  IF(OR(G51="", I51=""), 0,
    IF(AND(G51=B51, I51=D51), 10,
      IF(AND(OR(AND(B51&gt;D51, G51&gt;I51), AND(B51&lt;D51, G51&lt;I51), AND(B51=D51, G51=I51)), OR(G51=B51, I51=D51)), 7,
        IF(OR(AND(B51&gt;D51, G51&gt;I51), AND(B51&lt;D51, G51&lt;I51), AND(B51=D51, G51=I51)), 5,
          IF(OR(G51=B51, I51=D51), 2, 0)
        )
      )
    )
  )
)</f>
        <v>-</v>
      </c>
      <c r="K51" s="220"/>
      <c r="L51" s="13"/>
      <c r="M51" s="14" t="s">
        <v>17</v>
      </c>
      <c r="N51" s="13"/>
      <c r="O51" s="17" t="str">
        <f t="shared" ref="O51:O56" si="181">IF(OR(B51="", D51=""), "-",
  IF(OR(L51="", N51=""), 0,
    IF(AND(L51=B51, N51=D51), 10,
      IF(AND(OR(AND(B51&gt;D51, L51&gt;N51), AND(B51&lt;D51, L51&lt;N51), AND(B51=D51, L51=N51)), OR(L51=B51, N51=D51)), 7,
        IF(OR(AND(B51&gt;D51, L51&gt;N51), AND(B51&lt;D51, L51&lt;N51), AND(B51=D51, L51=N51)), 5,
          IF(OR(L51=B51, N51=D51), 2, 0)
        )
      )
    )
  )
)</f>
        <v>-</v>
      </c>
      <c r="P51" s="220"/>
      <c r="Q51" s="13"/>
      <c r="R51" s="14" t="s">
        <v>17</v>
      </c>
      <c r="S51" s="13"/>
      <c r="T51" s="17" t="str">
        <f t="shared" ref="T51:T56" si="182">IF(OR(B51="", D51=""), "-",
  IF(OR(Q51="", S51=""), 0,
    IF(AND(Q51=B51, S51=D51), 10,
      IF(AND(OR(AND(B51&gt;D51, Q51&gt;S51), AND(B51&lt;D51, Q51&lt;S51), AND(B51=D51, Q51=S51)), OR(Q51=B51, S51=D51)), 7,
        IF(OR(AND(B51&gt;D51, Q51&gt;S51), AND(B51&lt;D51, Q51&lt;S51), AND(B51=D51, Q51=S51)), 5,
          IF(OR(Q51=B51, S51=D51), 2, 0)
        )
      )
    )
  )
)</f>
        <v>-</v>
      </c>
      <c r="U51" s="220"/>
      <c r="V51" s="13"/>
      <c r="W51" s="14" t="s">
        <v>17</v>
      </c>
      <c r="X51" s="13"/>
      <c r="Y51" s="17" t="str">
        <f t="shared" ref="Y51:Y56" si="183">IF(OR(B51="", D51=""), "-",
  IF(OR(V51="", X51=""), 0,
    IF(AND(V51=B51, X51=D51), 10,
      IF(AND(OR(AND(B51&gt;D51, V51&gt;X51), AND(B51&lt;D51, V51&lt;X51), AND(B51=D51, V51=X51)), OR(V51=B51, X51=D51)), 7,
        IF(OR(AND(B51&gt;D51, V51&gt;X51), AND(B51&lt;D51, V51&lt;X51), AND(B51=D51, V51=X51)), 5,
          IF(OR(V51=B51, X51=D51), 2, 0)
        )
      )
    )
  )
)</f>
        <v>-</v>
      </c>
      <c r="Z51" s="220"/>
      <c r="AA51" s="13"/>
      <c r="AB51" s="14" t="s">
        <v>17</v>
      </c>
      <c r="AC51" s="13"/>
      <c r="AD51" s="17" t="str">
        <f t="shared" ref="AD51:AD56" si="184">IF(OR(B51="", D51=""), "-",
  IF(OR(AA51="", AC51=""), 0,
    IF(AND(AA51=B51, AC51=D51), 10,
      IF(AND(OR(AND(B51&gt;D51, AA51&gt;AC51), AND(B51&lt;D51, AA51&lt;AC51), AND(B51=D51, AA51=AC51)), OR(AA51=B51, AC51=D51)), 7,
        IF(OR(AND(B51&gt;D51, AA51&gt;AC51), AND(B51&lt;D51, AA51&lt;AC51), AND(B51=D51, AA51=AC51)), 5,
          IF(OR(AA51=B51, AC51=D51), 2, 0)
        )
      )
    )
  )
)</f>
        <v>-</v>
      </c>
      <c r="AE51" s="220"/>
      <c r="AF51" s="13"/>
      <c r="AG51" s="14" t="s">
        <v>17</v>
      </c>
      <c r="AH51" s="13"/>
      <c r="AI51" s="17" t="str">
        <f t="shared" ref="AI51:AI56" si="185">IF(OR(B51="", D51=""), "-",
  IF(OR(AF51="", AH51=""), 0,
    IF(AND(AF51=B51, AH51=D51), 10,
      IF(AND(OR(AND(B51&gt;D51, AF51&gt;AH51), AND(B51&lt;D51, AF51&lt;AH51), AND(B51=D51, AF51=AH51)), OR(AF51=B51, AH51=D51)), 7,
        IF(OR(AND(B51&gt;D51, AF51&gt;AH51), AND(B51&lt;D51, AF51&lt;AH51), AND(B51=D51, AF51=AH51)), 5,
          IF(OR(AF51=B51, AH51=D51), 2, 0)
        )
      )
    )
  )
)</f>
        <v>-</v>
      </c>
      <c r="AJ51" s="220"/>
      <c r="AK51" s="13"/>
      <c r="AL51" s="14" t="s">
        <v>17</v>
      </c>
      <c r="AM51" s="13"/>
      <c r="AN51" s="17" t="str">
        <f t="shared" ref="AN51:AN56" si="186">IF(OR(B51="", D51=""), "-",
  IF(OR(AK51="", AM51=""), 0,
    IF(AND(AK51=B51, AM51=D51), 10,
      IF(AND(OR(AND(B51&gt;D51, AK51&gt;AM51), AND(B51&lt;D51, AK51&lt;AM51), AND(B51=D51, AK51=AM51)), OR(AK51=B51, AM51=D51)), 7,
        IF(OR(AND(B51&gt;D51, AK51&gt;AM51), AND(B51&lt;D51, AK51&lt;AM51), AND(B51=D51, AK51=AM51)), 5,
          IF(OR(AK51=B51, AM51=D51), 2, 0)
        )
      )
    )
  )
)</f>
        <v>-</v>
      </c>
      <c r="AO51" s="220"/>
      <c r="AP51" s="13"/>
      <c r="AQ51" s="14" t="s">
        <v>17</v>
      </c>
      <c r="AR51" s="13"/>
      <c r="AS51" s="17" t="str">
        <f t="shared" ref="AS51:AS56" si="187">IF(OR(B51="", D51=""), "-",
  IF(OR(AP51="", AR51=""), 0,
    IF(AND(AP51=B51, AR51=D51), 10,
      IF(AND(OR(AND(B51&gt;D51, AP51&gt;AR51), AND(B51&lt;D51, AP51&lt;AR51), AND(B51=D51, AP51=AR51)), OR(AP51=B51, AR51=D51)), 7,
        IF(OR(AND(B51&gt;D51, AP51&gt;AR51), AND(B51&lt;D51, AP51&lt;AR51), AND(B51=D51, AP51=AR51)), 5,
          IF(OR(AP51=B51, AR51=D51), 2, 0)
        )
      )
    )
  )
)</f>
        <v>-</v>
      </c>
      <c r="AT51" s="220"/>
      <c r="AU51" s="13"/>
      <c r="AV51" s="14" t="s">
        <v>17</v>
      </c>
      <c r="AW51" s="13"/>
      <c r="AX51" s="17" t="str">
        <f t="shared" ref="AX51:AX56" si="188">IF(OR(B51="", D51=""), "-",
  IF(OR(AU51="", AW51=""), 0,
    IF(AND(AU51=B51, AW51=D51), 10,
      IF(AND(OR(AND(B51&gt;D51, AU51&gt;AW51), AND(B51&lt;D51, AU51&lt;AW51), AND(B51=D51, AU51=AW51)), OR(AU51=B51, AW51=D51)), 7,
        IF(OR(AND(B51&gt;D51, AU51&gt;AW51), AND(B51&lt;D51, AU51&lt;AW51), AND(B51=D51, AU51=AW51)), 5,
          IF(OR(AU51=B51, AW51=D51), 2, 0)
        )
      )
    )
  )
)</f>
        <v>-</v>
      </c>
      <c r="AY51" s="168"/>
      <c r="AZ51" s="13"/>
      <c r="BA51" s="14" t="s">
        <v>17</v>
      </c>
      <c r="BB51" s="13"/>
      <c r="BC51" s="17" t="str">
        <f t="shared" ref="BC51:BC56" si="189">IF(OR(B51="", D51=""), "-",
  IF(OR(AZ51="", BB51=""), 0,
    IF(AND(AZ51=B51, BB51=D51), 10,
      IF(AND(OR(AND(B51&gt;D51, AZ51&gt;BB51), AND(B51&lt;D51, AZ51&lt;BB51), AND(B51=D51, AZ51=BB51)), OR(AZ51=B51, BB51=D51)), 7,
        IF(OR(AND(B51&gt;D51, AZ51&gt;BB51), AND(B51&lt;D51, AZ51&lt;BB51), AND(B51=D51, AZ51=BB51)), 5,
          IF(OR(AZ51=B51, BB51=D51), 2, 0)
        )
      )
    )
  )
)</f>
        <v>-</v>
      </c>
      <c r="BD51" s="169"/>
      <c r="BE51" s="13"/>
      <c r="BF51" s="14" t="s">
        <v>17</v>
      </c>
      <c r="BG51" s="13"/>
      <c r="BH51" s="19" t="str">
        <f t="shared" ref="BH51:BH56" si="190">IF(OR(B51="", D51=""), "-",
  IF(OR(BE51="", BG51=""), 0,
    IF(AND(BE51=B51, BG51=D51), 10,
      IF(AND(OR(AND(B51&gt;D51, BE51&gt;BG51), AND(B51&lt;D51, BE51&lt;BG51), AND(B51=D51, BE51=BG51)), OR(BE51=B51, BG51=D51)), 7,
        IF(OR(AND(B51&gt;D51, BE51&gt;BG51), AND(B51&lt;D51, BE51&lt;BG51), AND(B51=D51, BE51=BG51)), 5,
          IF(OR(BE51=B51, BG51=D51), 2, 0)
        )
      )
    )
  )
)</f>
        <v>-</v>
      </c>
      <c r="BI51" s="169"/>
      <c r="BJ51" s="13"/>
      <c r="BK51" s="14" t="s">
        <v>17</v>
      </c>
      <c r="BL51" s="13"/>
      <c r="BM51" s="19" t="str">
        <f t="shared" ref="BM51:BM56" si="191">IF(OR(B51="", D51=""), "-",
  IF(OR(BJ51="", BL51=""), 0,
    IF(AND(BJ51=B51, BL51=D51), 10,
      IF(AND(OR(AND(B51&gt;D51, BJ51&gt;BL51), AND(B51&lt;D51, BJ51&lt;BL51), AND(B51=D51, BJ51=BL51)), OR(BJ51=B51, BL51=D51)), 7,
        IF(OR(AND(B51&gt;D51, BJ51&gt;BL51), AND(B51&lt;D51, BJ51&lt;BL51), AND(B51=D51, BJ51=BL51)), 5,
          IF(OR(BJ51=B51, BL51=D51), 2, 0)
        )
      )
    )
  )
)</f>
        <v>-</v>
      </c>
      <c r="BN51" s="169"/>
      <c r="BO51" s="13"/>
      <c r="BP51" s="14" t="s">
        <v>17</v>
      </c>
      <c r="BQ51" s="13"/>
      <c r="BR51" s="19" t="str">
        <f t="shared" ref="BR51:BR56" si="192">IF(OR(B51="", D51=""), "-",
  IF(OR(BO51="", BQ51=""), 0,
    IF(AND(BO51=B51, BQ51=D51), 10,
      IF(AND(OR(AND(B51&gt;D51, BO51&gt;BQ51), AND(B51&lt;D51, BO51&lt;BQ51), AND(B51=D51, BO51=BQ51)), OR(BO51=B51, BQ51=D51)), 7,
        IF(OR(AND(B51&gt;D51, BO51&gt;BQ51), AND(B51&lt;D51, BO51&lt;BQ51), AND(B51=D51, BO51=BQ51)), 5,
          IF(OR(BO51=B51, BQ51=D51), 2, 0)
        )
      )
    )
  )
)</f>
        <v>-</v>
      </c>
      <c r="BS51" s="169"/>
      <c r="BT51" s="13"/>
      <c r="BU51" s="14" t="s">
        <v>17</v>
      </c>
      <c r="BV51" s="13"/>
      <c r="BW51" s="19" t="str">
        <f t="shared" ref="BW51:BW56" si="193">IF(OR(B51="", D51=""), "-",
  IF(OR(BT51="", BV51=""), 0,
    IF(AND(BT51=B51, BV51=D51), 10,
      IF(AND(OR(AND(B51&gt;D51, BT51&gt;BV51), AND(B51&lt;D51, BT51&lt;BV51), AND(B51=D51, BT51=BV51)), OR(BT51=B51, BV51=D51)), 7,
        IF(OR(AND(B51&gt;D51, BT51&gt;BV51), AND(B51&lt;D51, BT51&lt;BV51), AND(B51=D51, BT51=BV51)), 5,
          IF(OR(BT51=B51, BV51=D51), 2, 0)
        )
      )
    )
  )
)</f>
        <v>-</v>
      </c>
      <c r="BX51" s="166"/>
      <c r="BY51" s="175"/>
      <c r="BZ51" s="16" t="s">
        <v>17</v>
      </c>
      <c r="CA51" s="175"/>
      <c r="CB51" s="17" t="str">
        <f t="shared" ref="CB51:CB56" si="194">IF(OR(B51="", D51=""), "-",
  IF(OR(BY51="", CA51=""), 0,
    IF(AND(BY51=B51, CA51=D51), 10,
      IF(AND(OR(AND(B51&gt;D51, BY51&gt;CA51), AND(B51&lt;D51, BY51&lt;CA51), AND(B51=D51, BY51=CA51)), OR(BY51=B51, CA51=D51)), 7,
        IF(OR(AND(B51&gt;D51, BY51&gt;CA51), AND(B51&lt;D51, BY51&lt;CA51), AND(B51=D51, BY51=CA51)), 5,
          IF(OR(BY51=B51, CA51=D51), 2, 0)
        )
      )
    )
  )
)</f>
        <v>-</v>
      </c>
      <c r="CC51" s="170"/>
      <c r="CD51" s="175"/>
      <c r="CE51" s="16" t="s">
        <v>17</v>
      </c>
      <c r="CF51" s="175"/>
      <c r="CG51" s="17" t="str">
        <f t="shared" ref="CG51:CG56" si="195">IF(OR(B51="", D51=""), "-",
  IF(OR(CD51="", CF51=""), 0,
    IF(AND(CD51=B51, CF51=D51), 10,
      IF(AND(OR(AND(B51&gt;D51, CD51&gt;CF51), AND(B51&lt;D51, CD51&lt;CF51), AND(B51=D51, CD51=CF51)), OR(CD51=B51, CF51=D51)), 7,
        IF(OR(AND(B51&gt;D51, CD51&gt;CF51), AND(B51&lt;D51, CD51&lt;CF51), AND(B51=D51, CD51=CF51)), 5,
          IF(OR(CD51=B51, CF51=D51), 2, 0)
        )
      )
    )
  )
)</f>
        <v>-</v>
      </c>
      <c r="CH51" s="170"/>
      <c r="CI51" s="175"/>
      <c r="CJ51" s="16" t="s">
        <v>17</v>
      </c>
      <c r="CK51" s="175"/>
      <c r="CL51" s="17" t="str">
        <f t="shared" ref="CL51:CL56" si="196">IF(OR(B51="", D51=""), "-",
  IF(OR(CI51="", CK51=""), 0,
    IF(AND(CI51=B51, CK51=D51), 10,
      IF(AND(OR(AND(B51&gt;D51, CI51&gt;CK51), AND(B51&lt;D51, CI51&lt;CK51), AND(B51=D51, CI51=CK51)), OR(CI51=B51, CK51=D51)), 7,
        IF(OR(AND(B51&gt;D51, CI51&gt;CK51), AND(B51&lt;D51, CI51&lt;CK51), AND(B51=D51, CI51=CK51)), 5,
          IF(OR(CI51=B51, CK51=D51), 2, 0)
        )
      )
    )
  )
)</f>
        <v>-</v>
      </c>
      <c r="CM51" s="170"/>
      <c r="CN51" s="175"/>
      <c r="CO51" s="16" t="s">
        <v>17</v>
      </c>
      <c r="CP51" s="175"/>
      <c r="CQ51" s="17" t="str">
        <f t="shared" ref="CQ51:CQ56" si="197">IF(OR(B51="", D51=""), "-",
  IF(OR(CN51="", CP51=""), 0,
    IF(AND(CN51=B51, CP51=D51), 10,
      IF(AND(OR(AND(B51&gt;D51, CN51&gt;CP51), AND(B51&lt;D51, CN51&lt;CP51), AND(B51=D51, CN51=CP51)), OR(CN51=B51, CP51=D51)), 7,
        IF(OR(AND(B51&gt;D51, CN51&gt;CP51), AND(B51&lt;D51, CN51&lt;CP51), AND(B51=D51, CN51=CP51)), 5,
          IF(OR(CN51=B51, CP51=D51), 2, 0)
        )
      )
    )
  )
)</f>
        <v>-</v>
      </c>
      <c r="CR51" s="170"/>
      <c r="CS51" s="175"/>
      <c r="CT51" s="16" t="s">
        <v>17</v>
      </c>
      <c r="CU51" s="175"/>
      <c r="CV51" s="17" t="str">
        <f t="shared" ref="CV51:CV56" si="198">IF(OR(B51="", D51=""), "-",
  IF(OR(CS51="", CU51=""), 0,
    IF(AND(CS51=B51, CU51=D51), 10,
      IF(AND(OR(AND(B51&gt;D51, CS51&gt;CU51), AND(B51&lt;D51, CS51&lt;CU51), AND(B51=D51, CS51=CU51)), OR(CS51=B51, CU51=D51)), 7,
        IF(OR(AND(B51&gt;D51, CS51&gt;CU51), AND(B51&lt;D51, CS51&lt;CU51), AND(B51=D51, CS51=CU51)), 5,
          IF(OR(CS51=B51, CU51=D51), 2, 0)
        )
      )
    )
  )
)</f>
        <v>-</v>
      </c>
      <c r="CW51" s="170"/>
      <c r="CX51" s="175"/>
      <c r="CY51" s="16" t="s">
        <v>17</v>
      </c>
      <c r="CZ51" s="175"/>
      <c r="DA51" s="17" t="str">
        <f t="shared" ref="DA51:DA56" si="199">IF(OR(B51="", D51=""), "-",
  IF(OR(CX51="", CZ51=""), 0,
    IF(AND(CX51=B51, CZ51=D51), 10,
      IF(AND(OR(AND(B51&gt;D51, CX51&gt;CZ51), AND(B51&lt;D51, CX51&lt;CZ51), AND(B51=D51, CX51=CZ51)), OR(CX51=B51, CZ51=D51)), 7,
        IF(OR(AND(B51&gt;D51, CX51&gt;CZ51), AND(B51&lt;D51, CX51&lt;CZ51), AND(B51=D51, CX51=CZ51)), 5,
          IF(OR(CX51=B51, CZ51=D51), 2, 0)
        )
      )
    )
  )
)</f>
        <v>-</v>
      </c>
      <c r="DB51" s="170"/>
      <c r="DC51" s="175"/>
      <c r="DD51" s="16" t="s">
        <v>17</v>
      </c>
      <c r="DE51" s="175"/>
      <c r="DF51" s="17" t="str">
        <f t="shared" ref="DF51:DF56" si="200">IF(OR(B51="", D51=""), "-",
  IF(OR(DC51="", DE51=""), 0,
    IF(AND(DC51=B51, DE51=D51), 10,
      IF(AND(OR(AND(B51&gt;D51, DC51&gt;DE51), AND(B51&lt;D51, DC51&lt;DE51), AND(B51=D51, DC51=DE51)), OR(DC51=B51, DE51=D51)), 7,
        IF(OR(AND(B51&gt;D51, DC51&gt;DE51), AND(B51&lt;D51, DC51&lt;DE51), AND(B51=D51, DC51=DE51)), 5,
          IF(OR(DC51=B51, DE51=D51), 2, 0)
        )
      )
    )
  )
)</f>
        <v>-</v>
      </c>
      <c r="DG51" s="170"/>
      <c r="DH51" s="175"/>
      <c r="DI51" s="16" t="s">
        <v>17</v>
      </c>
      <c r="DJ51" s="175"/>
      <c r="DK51" s="17" t="str">
        <f t="shared" ref="DK51:DK56" si="201">IF(OR(B51="", D51=""), "-",
  IF(OR(DH51="", DJ51=""), 0,
    IF(AND(DH51=B51, DJ51=D51), 10,
      IF(AND(OR(AND(B51&gt;D51, DH51&gt;DJ51), AND(B51&lt;D51, DH51&lt;DJ51), AND(B51=D51, DH51=DJ51)), OR(DH51=B51, DJ51=D51)), 7,
        IF(OR(AND(B51&gt;D51, DH51&gt;DJ51), AND(B51&lt;D51, DH51&lt;DJ51), AND(B51=D51, DH51=DJ51)), 5,
          IF(OR(DH51=B51, DJ51=D51), 2, 0)
        )
      )
    )
  )
)</f>
        <v>-</v>
      </c>
      <c r="DL51" s="170"/>
      <c r="DM51" s="175"/>
      <c r="DN51" s="16" t="s">
        <v>17</v>
      </c>
      <c r="DO51" s="175"/>
      <c r="DP51" s="17" t="str">
        <f t="shared" ref="DP51:DP56" si="202">IF(OR(B51="", D51=""), "-",
  IF(OR(DM51="", DO51=""), 0,
    IF(AND(DM51=B51, DO51=D51), 10,
      IF(AND(OR(AND(B51&gt;D51, DM51&gt;DO51), AND(B51&lt;D51, DM51&lt;DO51), AND(B51=D51, DM51=DO51)), OR(DM51=B51, DO51=D51)), 7,
        IF(OR(AND(B51&gt;D51, DM51&gt;DO51), AND(B51&lt;D51, DM51&lt;DO51), AND(B51=D51, DM51=DO51)), 5,
          IF(OR(DM51=B51, DO51=D51), 2, 0)
        )
      )
    )
  )
)</f>
        <v>-</v>
      </c>
      <c r="DQ51" s="170"/>
      <c r="DR51" s="175"/>
      <c r="DS51" s="16" t="s">
        <v>17</v>
      </c>
      <c r="DT51" s="175"/>
      <c r="DU51" s="17" t="str">
        <f t="shared" ref="DU51:DU56" si="203">IF(OR(B51="", D51=""), "-",
  IF(OR(DR51="", DT51=""), 0,
    IF(AND(DR51=B51, DT51=D51), 10,
      IF(AND(OR(AND(B51&gt;D51, DR51&gt;DT51), AND(B51&lt;D51, DR51&lt;DT51), AND(B51=D51, DR51=DT51)), OR(DR51=B51, DT51=D51)), 7,
        IF(OR(AND(B51&gt;D51, DR51&gt;DT51), AND(B51&lt;D51, DR51&lt;DT51), AND(B51=D51, DR51=DT51)), 5,
          IF(OR(DR51=B51, DT51=D51), 2, 0)
        )
      )
    )
  )
)</f>
        <v>-</v>
      </c>
      <c r="DV51" s="170"/>
      <c r="DW51" s="175"/>
      <c r="DX51" s="16" t="s">
        <v>17</v>
      </c>
      <c r="DY51" s="175"/>
      <c r="DZ51" s="17" t="str">
        <f t="shared" ref="DZ51:DZ56" si="204">IF(OR(B51="", D51=""), "-",
  IF(OR(DW51="", DY51=""), 0,
    IF(AND(DW51=B51, DY51=D51), 10,
      IF(AND(OR(AND(B51&gt;D51, DW51&gt;DY51), AND(B51&lt;D51, DW51&lt;DY51), AND(B51=D51, DW51=DY51)), OR(DW51=B51, DY51=D51)), 7,
        IF(OR(AND(B51&gt;D51, DW51&gt;DY51), AND(B51&lt;D51, DW51&lt;DY51), AND(B51=D51, DW51=DY51)), 5,
          IF(OR(DW51=B51, DY51=D51), 2, 0)
        )
      )
    )
  )
)</f>
        <v>-</v>
      </c>
      <c r="EA51" s="166"/>
      <c r="EB51" s="175"/>
      <c r="EC51" s="16" t="s">
        <v>17</v>
      </c>
      <c r="ED51" s="175"/>
      <c r="EE51" s="17" t="str">
        <f t="shared" ref="EE51:EE56" si="205">IF(OR(B51="", D51=""), "-",
  IF(OR(EB51="", ED51=""), 0,
    IF(AND(EB51=B51, ED51=D51), 10,
      IF(AND(OR(AND(B51&gt;D51, EB51&gt;ED51), AND(B51&lt;D51, EB51&lt;ED51), AND(B51=D51, EB51=ED51)), OR(EB51=B51, ED51=D51)), 7,
        IF(OR(AND(B51&gt;D51, EB51&gt;ED51), AND(B51&lt;D51, EB51&lt;ED51), AND(B51=D51, EB51=ED51)), 5,
          IF(OR(EB51=B51, ED51=D51), 2, 0)
        )
      )
    )
  )
)</f>
        <v>-</v>
      </c>
      <c r="EF51" s="166"/>
      <c r="EG51" s="175"/>
      <c r="EH51" s="16" t="s">
        <v>17</v>
      </c>
      <c r="EI51" s="175"/>
      <c r="EJ51" s="17" t="str">
        <f t="shared" ref="EJ51:EJ56" si="206">IF(OR(B51="", D51=""), "-",
  IF(OR(EG51="", EI51=""), 0,
    IF(AND(EG51=B51, EI51=D51), 10,
      IF(AND(OR(AND(B51&gt;D51, EG51&gt;EI51), AND(B51&lt;D51, EG51&lt;EI51), AND(B51=D51, EG51=EI51)), OR(EG51=B51, EI51=D51)), 7,
        IF(OR(AND(B51&gt;D51, EG51&gt;EI51), AND(B51&lt;D51, EG51&lt;EI51), AND(B51=D51, EG51=EI51)), 5,
          IF(OR(EG51=B51, EI51=D51), 2, 0)
        )
      )
    )
  )
)</f>
        <v>-</v>
      </c>
      <c r="EK51" s="166"/>
      <c r="EL51" s="175"/>
      <c r="EM51" s="16" t="s">
        <v>17</v>
      </c>
      <c r="EN51" s="175"/>
      <c r="EO51" s="17" t="str">
        <f t="shared" ref="EO51:EO56" si="207">IF(OR(B51="", D51=""), "-",
  IF(OR(EL51="", EN51=""), 0,
    IF(AND(EL51=B51, EN51=D51), 10,
      IF(AND(OR(AND(B51&gt;D51, EL51&gt;EN51), AND(B51&lt;D51, EL51&lt;EN51), AND(B51=D51, EL51=EN51)), OR(EL51=B51, EN51=D51)), 7,
        IF(OR(AND(B51&gt;D51, EL51&gt;EN51), AND(B51&lt;D51, EL51&lt;EN51), AND(B51=D51, EL51=EN51)), 5,
          IF(OR(EL51=B51, EN51=D51), 2, 0)
        )
      )
    )
  )
)</f>
        <v>-</v>
      </c>
      <c r="EP51" s="166"/>
      <c r="EQ51" s="175"/>
      <c r="ER51" s="16" t="s">
        <v>17</v>
      </c>
      <c r="ES51" s="175"/>
      <c r="ET51" s="17" t="str">
        <f t="shared" ref="ET51:ET56" si="208">IF(OR(B51="", D51=""), "-",
  IF(OR(EQ51="", ES51=""), 0,
    IF(AND(EQ51=B51, ES51=D51), 10,
      IF(AND(OR(AND(B51&gt;D51, EQ51&gt;ES51), AND(B51&lt;D51, EQ51&lt;ES51), AND(B51=D51, EQ51=ES51)), OR(EQ51=B51, ES51=D51)), 7,
        IF(OR(AND(B51&gt;D51, EQ51&gt;ES51), AND(B51&lt;D51, EQ51&lt;ES51), AND(B51=D51, EQ51=ES51)), 5,
          IF(OR(EQ51=B51, ES51=D51), 2, 0)
        )
      )
    )
  )
)</f>
        <v>-</v>
      </c>
      <c r="EU51" s="166"/>
      <c r="EV51" s="13"/>
      <c r="EW51" s="14" t="s">
        <v>17</v>
      </c>
      <c r="EX51" s="13"/>
      <c r="EY51" s="19" t="str">
        <f t="shared" ref="EY51:EY56" si="209">IF(OR(B51="", D51=""), "-",
  IF(OR(EV51="", EX51=""), 0,
    IF(AND(EV51=B51, EX51=D51), 10,
      IF(AND(OR(AND(B51&gt;D51, EV51&gt;EX51), AND(B51&lt;D51, EV51&lt;EX51), AND(B51=D51, EV51=EX51)), OR(EV51=B51, EX51=D51)), 7,
        IF(OR(AND(B51&gt;D51, EV51&gt;EX51), AND(B51&lt;D51, EV51&lt;EX51), AND(B51=D51, EV51=EX51)), 5,
          IF(OR(EV51=B51, EX51=D51), 2, 0)
        )
      )
    )
  )
)</f>
        <v>-</v>
      </c>
      <c r="EZ51" s="166"/>
      <c r="FA51" s="8"/>
    </row>
    <row r="52" spans="1:157" ht="17.399999999999999">
      <c r="A52" s="117" t="s">
        <v>100</v>
      </c>
      <c r="B52" s="118"/>
      <c r="C52" s="119" t="s">
        <v>17</v>
      </c>
      <c r="D52" s="118"/>
      <c r="E52" s="117" t="s">
        <v>101</v>
      </c>
      <c r="F52" s="166"/>
      <c r="G52" s="118"/>
      <c r="H52" s="119" t="s">
        <v>17</v>
      </c>
      <c r="I52" s="118"/>
      <c r="J52" s="120" t="str">
        <f t="shared" si="180"/>
        <v>-</v>
      </c>
      <c r="K52" s="220"/>
      <c r="L52" s="118"/>
      <c r="M52" s="119" t="s">
        <v>17</v>
      </c>
      <c r="N52" s="118"/>
      <c r="O52" s="120" t="str">
        <f t="shared" si="181"/>
        <v>-</v>
      </c>
      <c r="P52" s="220"/>
      <c r="Q52" s="118"/>
      <c r="R52" s="119" t="s">
        <v>17</v>
      </c>
      <c r="S52" s="118"/>
      <c r="T52" s="120" t="str">
        <f t="shared" si="182"/>
        <v>-</v>
      </c>
      <c r="U52" s="220"/>
      <c r="V52" s="118"/>
      <c r="W52" s="119" t="s">
        <v>17</v>
      </c>
      <c r="X52" s="118"/>
      <c r="Y52" s="120" t="str">
        <f t="shared" si="183"/>
        <v>-</v>
      </c>
      <c r="Z52" s="220"/>
      <c r="AA52" s="118"/>
      <c r="AB52" s="119" t="s">
        <v>17</v>
      </c>
      <c r="AC52" s="118"/>
      <c r="AD52" s="120" t="str">
        <f t="shared" si="184"/>
        <v>-</v>
      </c>
      <c r="AE52" s="220"/>
      <c r="AF52" s="118"/>
      <c r="AG52" s="119" t="s">
        <v>17</v>
      </c>
      <c r="AH52" s="118"/>
      <c r="AI52" s="120" t="str">
        <f t="shared" si="185"/>
        <v>-</v>
      </c>
      <c r="AJ52" s="220"/>
      <c r="AK52" s="118"/>
      <c r="AL52" s="119" t="s">
        <v>17</v>
      </c>
      <c r="AM52" s="118"/>
      <c r="AN52" s="120" t="str">
        <f t="shared" si="186"/>
        <v>-</v>
      </c>
      <c r="AO52" s="220"/>
      <c r="AP52" s="118"/>
      <c r="AQ52" s="119" t="s">
        <v>17</v>
      </c>
      <c r="AR52" s="118"/>
      <c r="AS52" s="120" t="str">
        <f t="shared" si="187"/>
        <v>-</v>
      </c>
      <c r="AT52" s="220"/>
      <c r="AU52" s="118"/>
      <c r="AV52" s="119" t="s">
        <v>17</v>
      </c>
      <c r="AW52" s="118"/>
      <c r="AX52" s="120" t="str">
        <f t="shared" si="188"/>
        <v>-</v>
      </c>
      <c r="AY52" s="168"/>
      <c r="AZ52" s="118"/>
      <c r="BA52" s="119" t="s">
        <v>17</v>
      </c>
      <c r="BB52" s="118"/>
      <c r="BC52" s="120" t="str">
        <f t="shared" si="189"/>
        <v>-</v>
      </c>
      <c r="BD52" s="169"/>
      <c r="BE52" s="118"/>
      <c r="BF52" s="119" t="s">
        <v>17</v>
      </c>
      <c r="BG52" s="118"/>
      <c r="BH52" s="121" t="str">
        <f t="shared" si="190"/>
        <v>-</v>
      </c>
      <c r="BI52" s="169"/>
      <c r="BJ52" s="118"/>
      <c r="BK52" s="119" t="s">
        <v>17</v>
      </c>
      <c r="BL52" s="118"/>
      <c r="BM52" s="121" t="str">
        <f t="shared" si="191"/>
        <v>-</v>
      </c>
      <c r="BN52" s="169"/>
      <c r="BO52" s="118"/>
      <c r="BP52" s="119" t="s">
        <v>17</v>
      </c>
      <c r="BQ52" s="118"/>
      <c r="BR52" s="121" t="str">
        <f t="shared" si="192"/>
        <v>-</v>
      </c>
      <c r="BS52" s="169"/>
      <c r="BT52" s="118"/>
      <c r="BU52" s="119" t="s">
        <v>17</v>
      </c>
      <c r="BV52" s="118"/>
      <c r="BW52" s="121" t="str">
        <f t="shared" si="193"/>
        <v>-</v>
      </c>
      <c r="BX52" s="166"/>
      <c r="BY52" s="226"/>
      <c r="BZ52" s="227" t="s">
        <v>17</v>
      </c>
      <c r="CA52" s="226"/>
      <c r="CB52" s="120" t="str">
        <f t="shared" si="194"/>
        <v>-</v>
      </c>
      <c r="CC52" s="170"/>
      <c r="CD52" s="226"/>
      <c r="CE52" s="227" t="s">
        <v>17</v>
      </c>
      <c r="CF52" s="226"/>
      <c r="CG52" s="120" t="str">
        <f t="shared" si="195"/>
        <v>-</v>
      </c>
      <c r="CH52" s="170"/>
      <c r="CI52" s="226"/>
      <c r="CJ52" s="227" t="s">
        <v>17</v>
      </c>
      <c r="CK52" s="226"/>
      <c r="CL52" s="120" t="str">
        <f t="shared" si="196"/>
        <v>-</v>
      </c>
      <c r="CM52" s="170"/>
      <c r="CN52" s="226"/>
      <c r="CO52" s="227" t="s">
        <v>17</v>
      </c>
      <c r="CP52" s="226"/>
      <c r="CQ52" s="120" t="str">
        <f t="shared" si="197"/>
        <v>-</v>
      </c>
      <c r="CR52" s="170"/>
      <c r="CS52" s="226"/>
      <c r="CT52" s="227" t="s">
        <v>17</v>
      </c>
      <c r="CU52" s="226"/>
      <c r="CV52" s="120" t="str">
        <f t="shared" si="198"/>
        <v>-</v>
      </c>
      <c r="CW52" s="170"/>
      <c r="CX52" s="226"/>
      <c r="CY52" s="227" t="s">
        <v>17</v>
      </c>
      <c r="CZ52" s="226"/>
      <c r="DA52" s="120" t="str">
        <f t="shared" si="199"/>
        <v>-</v>
      </c>
      <c r="DB52" s="170"/>
      <c r="DC52" s="226"/>
      <c r="DD52" s="227" t="s">
        <v>17</v>
      </c>
      <c r="DE52" s="226"/>
      <c r="DF52" s="120" t="str">
        <f t="shared" si="200"/>
        <v>-</v>
      </c>
      <c r="DG52" s="170"/>
      <c r="DH52" s="226"/>
      <c r="DI52" s="227" t="s">
        <v>17</v>
      </c>
      <c r="DJ52" s="226"/>
      <c r="DK52" s="120" t="str">
        <f t="shared" si="201"/>
        <v>-</v>
      </c>
      <c r="DL52" s="170"/>
      <c r="DM52" s="226"/>
      <c r="DN52" s="227" t="s">
        <v>17</v>
      </c>
      <c r="DO52" s="226"/>
      <c r="DP52" s="120" t="str">
        <f t="shared" si="202"/>
        <v>-</v>
      </c>
      <c r="DQ52" s="170"/>
      <c r="DR52" s="226"/>
      <c r="DS52" s="227" t="s">
        <v>17</v>
      </c>
      <c r="DT52" s="226"/>
      <c r="DU52" s="120" t="str">
        <f t="shared" si="203"/>
        <v>-</v>
      </c>
      <c r="DV52" s="170"/>
      <c r="DW52" s="226"/>
      <c r="DX52" s="227" t="s">
        <v>17</v>
      </c>
      <c r="DY52" s="226"/>
      <c r="DZ52" s="120" t="str">
        <f t="shared" si="204"/>
        <v>-</v>
      </c>
      <c r="EA52" s="166"/>
      <c r="EB52" s="226"/>
      <c r="EC52" s="227" t="s">
        <v>17</v>
      </c>
      <c r="ED52" s="226"/>
      <c r="EE52" s="120" t="str">
        <f t="shared" si="205"/>
        <v>-</v>
      </c>
      <c r="EF52" s="166"/>
      <c r="EG52" s="226"/>
      <c r="EH52" s="227" t="s">
        <v>17</v>
      </c>
      <c r="EI52" s="226"/>
      <c r="EJ52" s="120" t="str">
        <f t="shared" si="206"/>
        <v>-</v>
      </c>
      <c r="EK52" s="166"/>
      <c r="EL52" s="226"/>
      <c r="EM52" s="227" t="s">
        <v>17</v>
      </c>
      <c r="EN52" s="226"/>
      <c r="EO52" s="120" t="str">
        <f t="shared" si="207"/>
        <v>-</v>
      </c>
      <c r="EP52" s="166"/>
      <c r="EQ52" s="226"/>
      <c r="ER52" s="227" t="s">
        <v>17</v>
      </c>
      <c r="ES52" s="226"/>
      <c r="ET52" s="120" t="str">
        <f t="shared" si="208"/>
        <v>-</v>
      </c>
      <c r="EU52" s="166"/>
      <c r="EV52" s="118"/>
      <c r="EW52" s="119" t="s">
        <v>17</v>
      </c>
      <c r="EX52" s="118"/>
      <c r="EY52" s="121" t="str">
        <f t="shared" si="209"/>
        <v>-</v>
      </c>
      <c r="EZ52" s="166"/>
      <c r="FA52" s="8"/>
    </row>
    <row r="53" spans="1:157" ht="17.399999999999999">
      <c r="A53" s="12" t="s">
        <v>98</v>
      </c>
      <c r="B53" s="13"/>
      <c r="C53" s="14" t="s">
        <v>17</v>
      </c>
      <c r="D53" s="13"/>
      <c r="E53" s="12" t="s">
        <v>100</v>
      </c>
      <c r="F53" s="166"/>
      <c r="G53" s="13"/>
      <c r="H53" s="14" t="s">
        <v>17</v>
      </c>
      <c r="I53" s="13"/>
      <c r="J53" s="17" t="str">
        <f t="shared" si="180"/>
        <v>-</v>
      </c>
      <c r="K53" s="220"/>
      <c r="L53" s="13"/>
      <c r="M53" s="14" t="s">
        <v>17</v>
      </c>
      <c r="N53" s="13"/>
      <c r="O53" s="17" t="str">
        <f t="shared" si="181"/>
        <v>-</v>
      </c>
      <c r="P53" s="220"/>
      <c r="Q53" s="13"/>
      <c r="R53" s="14" t="s">
        <v>17</v>
      </c>
      <c r="S53" s="13"/>
      <c r="T53" s="17" t="str">
        <f t="shared" si="182"/>
        <v>-</v>
      </c>
      <c r="U53" s="220"/>
      <c r="V53" s="13"/>
      <c r="W53" s="14" t="s">
        <v>17</v>
      </c>
      <c r="X53" s="13"/>
      <c r="Y53" s="17" t="str">
        <f t="shared" si="183"/>
        <v>-</v>
      </c>
      <c r="Z53" s="220"/>
      <c r="AA53" s="13"/>
      <c r="AB53" s="14" t="s">
        <v>17</v>
      </c>
      <c r="AC53" s="13"/>
      <c r="AD53" s="17" t="str">
        <f t="shared" si="184"/>
        <v>-</v>
      </c>
      <c r="AE53" s="220"/>
      <c r="AF53" s="13"/>
      <c r="AG53" s="14" t="s">
        <v>17</v>
      </c>
      <c r="AH53" s="13"/>
      <c r="AI53" s="17" t="str">
        <f t="shared" si="185"/>
        <v>-</v>
      </c>
      <c r="AJ53" s="220"/>
      <c r="AK53" s="13"/>
      <c r="AL53" s="14" t="s">
        <v>17</v>
      </c>
      <c r="AM53" s="13"/>
      <c r="AN53" s="17" t="str">
        <f t="shared" si="186"/>
        <v>-</v>
      </c>
      <c r="AO53" s="220"/>
      <c r="AP53" s="13"/>
      <c r="AQ53" s="14" t="s">
        <v>17</v>
      </c>
      <c r="AR53" s="13"/>
      <c r="AS53" s="17" t="str">
        <f t="shared" si="187"/>
        <v>-</v>
      </c>
      <c r="AT53" s="220"/>
      <c r="AU53" s="13"/>
      <c r="AV53" s="14" t="s">
        <v>17</v>
      </c>
      <c r="AW53" s="13"/>
      <c r="AX53" s="17" t="str">
        <f t="shared" si="188"/>
        <v>-</v>
      </c>
      <c r="AY53" s="168"/>
      <c r="AZ53" s="13"/>
      <c r="BA53" s="14" t="s">
        <v>17</v>
      </c>
      <c r="BB53" s="13"/>
      <c r="BC53" s="17" t="str">
        <f t="shared" si="189"/>
        <v>-</v>
      </c>
      <c r="BD53" s="169"/>
      <c r="BE53" s="13"/>
      <c r="BF53" s="14" t="s">
        <v>17</v>
      </c>
      <c r="BG53" s="13"/>
      <c r="BH53" s="19" t="str">
        <f t="shared" si="190"/>
        <v>-</v>
      </c>
      <c r="BI53" s="169"/>
      <c r="BJ53" s="13"/>
      <c r="BK53" s="14" t="s">
        <v>17</v>
      </c>
      <c r="BL53" s="13"/>
      <c r="BM53" s="19" t="str">
        <f t="shared" si="191"/>
        <v>-</v>
      </c>
      <c r="BN53" s="169"/>
      <c r="BO53" s="13"/>
      <c r="BP53" s="14" t="s">
        <v>17</v>
      </c>
      <c r="BQ53" s="13"/>
      <c r="BR53" s="19" t="str">
        <f t="shared" si="192"/>
        <v>-</v>
      </c>
      <c r="BS53" s="169"/>
      <c r="BT53" s="13"/>
      <c r="BU53" s="14" t="s">
        <v>17</v>
      </c>
      <c r="BV53" s="13"/>
      <c r="BW53" s="19" t="str">
        <f t="shared" si="193"/>
        <v>-</v>
      </c>
      <c r="BX53" s="166"/>
      <c r="BY53" s="175"/>
      <c r="BZ53" s="16" t="s">
        <v>17</v>
      </c>
      <c r="CA53" s="175"/>
      <c r="CB53" s="17" t="str">
        <f t="shared" si="194"/>
        <v>-</v>
      </c>
      <c r="CC53" s="170"/>
      <c r="CD53" s="175"/>
      <c r="CE53" s="16" t="s">
        <v>17</v>
      </c>
      <c r="CF53" s="175"/>
      <c r="CG53" s="17" t="str">
        <f t="shared" si="195"/>
        <v>-</v>
      </c>
      <c r="CH53" s="170"/>
      <c r="CI53" s="175"/>
      <c r="CJ53" s="16" t="s">
        <v>17</v>
      </c>
      <c r="CK53" s="175"/>
      <c r="CL53" s="17" t="str">
        <f t="shared" si="196"/>
        <v>-</v>
      </c>
      <c r="CM53" s="170"/>
      <c r="CN53" s="175"/>
      <c r="CO53" s="16" t="s">
        <v>17</v>
      </c>
      <c r="CP53" s="175"/>
      <c r="CQ53" s="17" t="str">
        <f t="shared" si="197"/>
        <v>-</v>
      </c>
      <c r="CR53" s="170"/>
      <c r="CS53" s="175"/>
      <c r="CT53" s="16" t="s">
        <v>17</v>
      </c>
      <c r="CU53" s="175"/>
      <c r="CV53" s="17" t="str">
        <f t="shared" si="198"/>
        <v>-</v>
      </c>
      <c r="CW53" s="170"/>
      <c r="CX53" s="175"/>
      <c r="CY53" s="16" t="s">
        <v>17</v>
      </c>
      <c r="CZ53" s="175"/>
      <c r="DA53" s="17" t="str">
        <f t="shared" si="199"/>
        <v>-</v>
      </c>
      <c r="DB53" s="170"/>
      <c r="DC53" s="175"/>
      <c r="DD53" s="16" t="s">
        <v>17</v>
      </c>
      <c r="DE53" s="175"/>
      <c r="DF53" s="17" t="str">
        <f t="shared" si="200"/>
        <v>-</v>
      </c>
      <c r="DG53" s="170"/>
      <c r="DH53" s="175"/>
      <c r="DI53" s="16" t="s">
        <v>17</v>
      </c>
      <c r="DJ53" s="175"/>
      <c r="DK53" s="17" t="str">
        <f t="shared" si="201"/>
        <v>-</v>
      </c>
      <c r="DL53" s="170"/>
      <c r="DM53" s="175"/>
      <c r="DN53" s="16" t="s">
        <v>17</v>
      </c>
      <c r="DO53" s="175"/>
      <c r="DP53" s="17" t="str">
        <f t="shared" si="202"/>
        <v>-</v>
      </c>
      <c r="DQ53" s="170"/>
      <c r="DR53" s="175"/>
      <c r="DS53" s="16" t="s">
        <v>17</v>
      </c>
      <c r="DT53" s="175"/>
      <c r="DU53" s="17" t="str">
        <f t="shared" si="203"/>
        <v>-</v>
      </c>
      <c r="DV53" s="170"/>
      <c r="DW53" s="175"/>
      <c r="DX53" s="16" t="s">
        <v>17</v>
      </c>
      <c r="DY53" s="175"/>
      <c r="DZ53" s="17" t="str">
        <f t="shared" si="204"/>
        <v>-</v>
      </c>
      <c r="EA53" s="166"/>
      <c r="EB53" s="175"/>
      <c r="EC53" s="16" t="s">
        <v>17</v>
      </c>
      <c r="ED53" s="175"/>
      <c r="EE53" s="17" t="str">
        <f t="shared" si="205"/>
        <v>-</v>
      </c>
      <c r="EF53" s="166"/>
      <c r="EG53" s="175"/>
      <c r="EH53" s="16" t="s">
        <v>17</v>
      </c>
      <c r="EI53" s="175"/>
      <c r="EJ53" s="17" t="str">
        <f t="shared" si="206"/>
        <v>-</v>
      </c>
      <c r="EK53" s="166"/>
      <c r="EL53" s="175"/>
      <c r="EM53" s="16" t="s">
        <v>17</v>
      </c>
      <c r="EN53" s="175"/>
      <c r="EO53" s="17" t="str">
        <f t="shared" si="207"/>
        <v>-</v>
      </c>
      <c r="EP53" s="166"/>
      <c r="EQ53" s="175"/>
      <c r="ER53" s="16" t="s">
        <v>17</v>
      </c>
      <c r="ES53" s="175"/>
      <c r="ET53" s="17" t="str">
        <f t="shared" si="208"/>
        <v>-</v>
      </c>
      <c r="EU53" s="166"/>
      <c r="EV53" s="13"/>
      <c r="EW53" s="14" t="s">
        <v>17</v>
      </c>
      <c r="EX53" s="13"/>
      <c r="EY53" s="19" t="str">
        <f t="shared" si="209"/>
        <v>-</v>
      </c>
      <c r="EZ53" s="166"/>
      <c r="FA53" s="8"/>
    </row>
    <row r="54" spans="1:157" ht="17.399999999999999">
      <c r="A54" s="117" t="s">
        <v>101</v>
      </c>
      <c r="B54" s="118"/>
      <c r="C54" s="119" t="s">
        <v>17</v>
      </c>
      <c r="D54" s="118"/>
      <c r="E54" s="117" t="s">
        <v>99</v>
      </c>
      <c r="F54" s="166"/>
      <c r="G54" s="118"/>
      <c r="H54" s="119" t="s">
        <v>17</v>
      </c>
      <c r="I54" s="118"/>
      <c r="J54" s="120" t="str">
        <f t="shared" si="180"/>
        <v>-</v>
      </c>
      <c r="K54" s="220"/>
      <c r="L54" s="118"/>
      <c r="M54" s="119" t="s">
        <v>17</v>
      </c>
      <c r="N54" s="118"/>
      <c r="O54" s="120" t="str">
        <f t="shared" si="181"/>
        <v>-</v>
      </c>
      <c r="P54" s="220"/>
      <c r="Q54" s="118"/>
      <c r="R54" s="119" t="s">
        <v>17</v>
      </c>
      <c r="S54" s="118"/>
      <c r="T54" s="120" t="str">
        <f t="shared" si="182"/>
        <v>-</v>
      </c>
      <c r="U54" s="220"/>
      <c r="V54" s="118"/>
      <c r="W54" s="119" t="s">
        <v>17</v>
      </c>
      <c r="X54" s="118"/>
      <c r="Y54" s="120" t="str">
        <f t="shared" si="183"/>
        <v>-</v>
      </c>
      <c r="Z54" s="220"/>
      <c r="AA54" s="118"/>
      <c r="AB54" s="119" t="s">
        <v>17</v>
      </c>
      <c r="AC54" s="118"/>
      <c r="AD54" s="120" t="str">
        <f t="shared" si="184"/>
        <v>-</v>
      </c>
      <c r="AE54" s="220"/>
      <c r="AF54" s="118"/>
      <c r="AG54" s="119" t="s">
        <v>17</v>
      </c>
      <c r="AH54" s="118"/>
      <c r="AI54" s="120" t="str">
        <f t="shared" si="185"/>
        <v>-</v>
      </c>
      <c r="AJ54" s="220"/>
      <c r="AK54" s="118"/>
      <c r="AL54" s="119" t="s">
        <v>17</v>
      </c>
      <c r="AM54" s="118"/>
      <c r="AN54" s="120" t="str">
        <f t="shared" si="186"/>
        <v>-</v>
      </c>
      <c r="AO54" s="220"/>
      <c r="AP54" s="118"/>
      <c r="AQ54" s="119" t="s">
        <v>17</v>
      </c>
      <c r="AR54" s="118"/>
      <c r="AS54" s="120" t="str">
        <f t="shared" si="187"/>
        <v>-</v>
      </c>
      <c r="AT54" s="220"/>
      <c r="AU54" s="118"/>
      <c r="AV54" s="119" t="s">
        <v>17</v>
      </c>
      <c r="AW54" s="118"/>
      <c r="AX54" s="120" t="str">
        <f t="shared" si="188"/>
        <v>-</v>
      </c>
      <c r="AY54" s="168"/>
      <c r="AZ54" s="118"/>
      <c r="BA54" s="119" t="s">
        <v>17</v>
      </c>
      <c r="BB54" s="118"/>
      <c r="BC54" s="120" t="str">
        <f t="shared" si="189"/>
        <v>-</v>
      </c>
      <c r="BD54" s="169"/>
      <c r="BE54" s="118"/>
      <c r="BF54" s="119" t="s">
        <v>17</v>
      </c>
      <c r="BG54" s="118"/>
      <c r="BH54" s="121" t="str">
        <f t="shared" si="190"/>
        <v>-</v>
      </c>
      <c r="BI54" s="169"/>
      <c r="BJ54" s="118"/>
      <c r="BK54" s="119" t="s">
        <v>17</v>
      </c>
      <c r="BL54" s="118"/>
      <c r="BM54" s="121" t="str">
        <f t="shared" si="191"/>
        <v>-</v>
      </c>
      <c r="BN54" s="169"/>
      <c r="BO54" s="118"/>
      <c r="BP54" s="119" t="s">
        <v>17</v>
      </c>
      <c r="BQ54" s="118"/>
      <c r="BR54" s="121" t="str">
        <f t="shared" si="192"/>
        <v>-</v>
      </c>
      <c r="BS54" s="169"/>
      <c r="BT54" s="118"/>
      <c r="BU54" s="119" t="s">
        <v>17</v>
      </c>
      <c r="BV54" s="118"/>
      <c r="BW54" s="121" t="str">
        <f t="shared" si="193"/>
        <v>-</v>
      </c>
      <c r="BX54" s="166"/>
      <c r="BY54" s="226"/>
      <c r="BZ54" s="227" t="s">
        <v>17</v>
      </c>
      <c r="CA54" s="226"/>
      <c r="CB54" s="120" t="str">
        <f t="shared" si="194"/>
        <v>-</v>
      </c>
      <c r="CC54" s="170"/>
      <c r="CD54" s="226"/>
      <c r="CE54" s="227" t="s">
        <v>17</v>
      </c>
      <c r="CF54" s="226"/>
      <c r="CG54" s="120" t="str">
        <f t="shared" si="195"/>
        <v>-</v>
      </c>
      <c r="CH54" s="170"/>
      <c r="CI54" s="226"/>
      <c r="CJ54" s="227" t="s">
        <v>17</v>
      </c>
      <c r="CK54" s="226"/>
      <c r="CL54" s="120" t="str">
        <f t="shared" si="196"/>
        <v>-</v>
      </c>
      <c r="CM54" s="170"/>
      <c r="CN54" s="226"/>
      <c r="CO54" s="227" t="s">
        <v>17</v>
      </c>
      <c r="CP54" s="226"/>
      <c r="CQ54" s="120" t="str">
        <f t="shared" si="197"/>
        <v>-</v>
      </c>
      <c r="CR54" s="170"/>
      <c r="CS54" s="226"/>
      <c r="CT54" s="227" t="s">
        <v>17</v>
      </c>
      <c r="CU54" s="226"/>
      <c r="CV54" s="120" t="str">
        <f t="shared" si="198"/>
        <v>-</v>
      </c>
      <c r="CW54" s="170"/>
      <c r="CX54" s="226"/>
      <c r="CY54" s="227" t="s">
        <v>17</v>
      </c>
      <c r="CZ54" s="226"/>
      <c r="DA54" s="120" t="str">
        <f t="shared" si="199"/>
        <v>-</v>
      </c>
      <c r="DB54" s="170"/>
      <c r="DC54" s="226"/>
      <c r="DD54" s="227" t="s">
        <v>17</v>
      </c>
      <c r="DE54" s="226"/>
      <c r="DF54" s="120" t="str">
        <f t="shared" si="200"/>
        <v>-</v>
      </c>
      <c r="DG54" s="170"/>
      <c r="DH54" s="226"/>
      <c r="DI54" s="227" t="s">
        <v>17</v>
      </c>
      <c r="DJ54" s="226"/>
      <c r="DK54" s="120" t="str">
        <f t="shared" si="201"/>
        <v>-</v>
      </c>
      <c r="DL54" s="170"/>
      <c r="DM54" s="226"/>
      <c r="DN54" s="227" t="s">
        <v>17</v>
      </c>
      <c r="DO54" s="226"/>
      <c r="DP54" s="120" t="str">
        <f t="shared" si="202"/>
        <v>-</v>
      </c>
      <c r="DQ54" s="170"/>
      <c r="DR54" s="226"/>
      <c r="DS54" s="227" t="s">
        <v>17</v>
      </c>
      <c r="DT54" s="226"/>
      <c r="DU54" s="120" t="str">
        <f t="shared" si="203"/>
        <v>-</v>
      </c>
      <c r="DV54" s="170"/>
      <c r="DW54" s="226"/>
      <c r="DX54" s="227" t="s">
        <v>17</v>
      </c>
      <c r="DY54" s="226"/>
      <c r="DZ54" s="120" t="str">
        <f t="shared" si="204"/>
        <v>-</v>
      </c>
      <c r="EA54" s="166"/>
      <c r="EB54" s="226"/>
      <c r="EC54" s="227" t="s">
        <v>17</v>
      </c>
      <c r="ED54" s="226"/>
      <c r="EE54" s="120" t="str">
        <f t="shared" si="205"/>
        <v>-</v>
      </c>
      <c r="EF54" s="166"/>
      <c r="EG54" s="226"/>
      <c r="EH54" s="227" t="s">
        <v>17</v>
      </c>
      <c r="EI54" s="226"/>
      <c r="EJ54" s="120" t="str">
        <f t="shared" si="206"/>
        <v>-</v>
      </c>
      <c r="EK54" s="166"/>
      <c r="EL54" s="226"/>
      <c r="EM54" s="227" t="s">
        <v>17</v>
      </c>
      <c r="EN54" s="226"/>
      <c r="EO54" s="120" t="str">
        <f t="shared" si="207"/>
        <v>-</v>
      </c>
      <c r="EP54" s="166"/>
      <c r="EQ54" s="226"/>
      <c r="ER54" s="227" t="s">
        <v>17</v>
      </c>
      <c r="ES54" s="226"/>
      <c r="ET54" s="120" t="str">
        <f t="shared" si="208"/>
        <v>-</v>
      </c>
      <c r="EU54" s="166"/>
      <c r="EV54" s="118"/>
      <c r="EW54" s="119" t="s">
        <v>17</v>
      </c>
      <c r="EX54" s="118"/>
      <c r="EY54" s="121" t="str">
        <f t="shared" si="209"/>
        <v>-</v>
      </c>
      <c r="EZ54" s="166"/>
      <c r="FA54" s="8"/>
    </row>
    <row r="55" spans="1:157" ht="17.399999999999999">
      <c r="A55" s="12" t="s">
        <v>99</v>
      </c>
      <c r="B55" s="13"/>
      <c r="C55" s="14" t="s">
        <v>17</v>
      </c>
      <c r="D55" s="13"/>
      <c r="E55" s="12" t="s">
        <v>100</v>
      </c>
      <c r="F55" s="166"/>
      <c r="G55" s="13"/>
      <c r="H55" s="14" t="s">
        <v>17</v>
      </c>
      <c r="I55" s="13"/>
      <c r="J55" s="17" t="str">
        <f t="shared" si="180"/>
        <v>-</v>
      </c>
      <c r="K55" s="220"/>
      <c r="L55" s="13"/>
      <c r="M55" s="14" t="s">
        <v>17</v>
      </c>
      <c r="N55" s="13"/>
      <c r="O55" s="17" t="str">
        <f t="shared" si="181"/>
        <v>-</v>
      </c>
      <c r="P55" s="220"/>
      <c r="Q55" s="13"/>
      <c r="R55" s="14" t="s">
        <v>17</v>
      </c>
      <c r="S55" s="13"/>
      <c r="T55" s="17" t="str">
        <f t="shared" si="182"/>
        <v>-</v>
      </c>
      <c r="U55" s="220"/>
      <c r="V55" s="13"/>
      <c r="W55" s="14" t="s">
        <v>17</v>
      </c>
      <c r="X55" s="13"/>
      <c r="Y55" s="17" t="str">
        <f t="shared" si="183"/>
        <v>-</v>
      </c>
      <c r="Z55" s="220"/>
      <c r="AA55" s="13"/>
      <c r="AB55" s="14" t="s">
        <v>17</v>
      </c>
      <c r="AC55" s="13"/>
      <c r="AD55" s="17" t="str">
        <f t="shared" si="184"/>
        <v>-</v>
      </c>
      <c r="AE55" s="220"/>
      <c r="AF55" s="13"/>
      <c r="AG55" s="14" t="s">
        <v>17</v>
      </c>
      <c r="AH55" s="13"/>
      <c r="AI55" s="17" t="str">
        <f t="shared" si="185"/>
        <v>-</v>
      </c>
      <c r="AJ55" s="220"/>
      <c r="AK55" s="13"/>
      <c r="AL55" s="14" t="s">
        <v>17</v>
      </c>
      <c r="AM55" s="13"/>
      <c r="AN55" s="17" t="str">
        <f t="shared" si="186"/>
        <v>-</v>
      </c>
      <c r="AO55" s="220"/>
      <c r="AP55" s="13"/>
      <c r="AQ55" s="14" t="s">
        <v>17</v>
      </c>
      <c r="AR55" s="13"/>
      <c r="AS55" s="17" t="str">
        <f t="shared" si="187"/>
        <v>-</v>
      </c>
      <c r="AT55" s="220"/>
      <c r="AU55" s="13"/>
      <c r="AV55" s="14" t="s">
        <v>17</v>
      </c>
      <c r="AW55" s="13"/>
      <c r="AX55" s="17" t="str">
        <f t="shared" si="188"/>
        <v>-</v>
      </c>
      <c r="AY55" s="168"/>
      <c r="AZ55" s="13"/>
      <c r="BA55" s="14" t="s">
        <v>17</v>
      </c>
      <c r="BB55" s="13"/>
      <c r="BC55" s="17" t="str">
        <f t="shared" si="189"/>
        <v>-</v>
      </c>
      <c r="BD55" s="169"/>
      <c r="BE55" s="13"/>
      <c r="BF55" s="14" t="s">
        <v>17</v>
      </c>
      <c r="BG55" s="13"/>
      <c r="BH55" s="19" t="str">
        <f t="shared" si="190"/>
        <v>-</v>
      </c>
      <c r="BI55" s="169"/>
      <c r="BJ55" s="13"/>
      <c r="BK55" s="14" t="s">
        <v>17</v>
      </c>
      <c r="BL55" s="13"/>
      <c r="BM55" s="19" t="str">
        <f t="shared" si="191"/>
        <v>-</v>
      </c>
      <c r="BN55" s="169"/>
      <c r="BO55" s="13"/>
      <c r="BP55" s="14" t="s">
        <v>17</v>
      </c>
      <c r="BQ55" s="13"/>
      <c r="BR55" s="19" t="str">
        <f t="shared" si="192"/>
        <v>-</v>
      </c>
      <c r="BS55" s="169"/>
      <c r="BT55" s="13"/>
      <c r="BU55" s="14" t="s">
        <v>17</v>
      </c>
      <c r="BV55" s="13"/>
      <c r="BW55" s="19" t="str">
        <f t="shared" si="193"/>
        <v>-</v>
      </c>
      <c r="BX55" s="166"/>
      <c r="BY55" s="175"/>
      <c r="BZ55" s="16" t="s">
        <v>17</v>
      </c>
      <c r="CA55" s="175"/>
      <c r="CB55" s="17" t="str">
        <f t="shared" si="194"/>
        <v>-</v>
      </c>
      <c r="CC55" s="170"/>
      <c r="CD55" s="175"/>
      <c r="CE55" s="16" t="s">
        <v>17</v>
      </c>
      <c r="CF55" s="175"/>
      <c r="CG55" s="17" t="str">
        <f t="shared" si="195"/>
        <v>-</v>
      </c>
      <c r="CH55" s="170"/>
      <c r="CI55" s="175"/>
      <c r="CJ55" s="16" t="s">
        <v>17</v>
      </c>
      <c r="CK55" s="175"/>
      <c r="CL55" s="17" t="str">
        <f t="shared" si="196"/>
        <v>-</v>
      </c>
      <c r="CM55" s="170"/>
      <c r="CN55" s="175"/>
      <c r="CO55" s="16" t="s">
        <v>17</v>
      </c>
      <c r="CP55" s="175"/>
      <c r="CQ55" s="17" t="str">
        <f t="shared" si="197"/>
        <v>-</v>
      </c>
      <c r="CR55" s="170"/>
      <c r="CS55" s="175"/>
      <c r="CT55" s="16" t="s">
        <v>17</v>
      </c>
      <c r="CU55" s="175"/>
      <c r="CV55" s="17" t="str">
        <f t="shared" si="198"/>
        <v>-</v>
      </c>
      <c r="CW55" s="170"/>
      <c r="CX55" s="175"/>
      <c r="CY55" s="16" t="s">
        <v>17</v>
      </c>
      <c r="CZ55" s="175"/>
      <c r="DA55" s="17" t="str">
        <f t="shared" si="199"/>
        <v>-</v>
      </c>
      <c r="DB55" s="170"/>
      <c r="DC55" s="175"/>
      <c r="DD55" s="16" t="s">
        <v>17</v>
      </c>
      <c r="DE55" s="175"/>
      <c r="DF55" s="17" t="str">
        <f t="shared" si="200"/>
        <v>-</v>
      </c>
      <c r="DG55" s="170"/>
      <c r="DH55" s="175"/>
      <c r="DI55" s="16" t="s">
        <v>17</v>
      </c>
      <c r="DJ55" s="175"/>
      <c r="DK55" s="17" t="str">
        <f t="shared" si="201"/>
        <v>-</v>
      </c>
      <c r="DL55" s="170"/>
      <c r="DM55" s="175"/>
      <c r="DN55" s="16" t="s">
        <v>17</v>
      </c>
      <c r="DO55" s="175"/>
      <c r="DP55" s="17" t="str">
        <f t="shared" si="202"/>
        <v>-</v>
      </c>
      <c r="DQ55" s="170"/>
      <c r="DR55" s="175"/>
      <c r="DS55" s="16" t="s">
        <v>17</v>
      </c>
      <c r="DT55" s="175"/>
      <c r="DU55" s="17" t="str">
        <f t="shared" si="203"/>
        <v>-</v>
      </c>
      <c r="DV55" s="170"/>
      <c r="DW55" s="175"/>
      <c r="DX55" s="16" t="s">
        <v>17</v>
      </c>
      <c r="DY55" s="175"/>
      <c r="DZ55" s="17" t="str">
        <f t="shared" si="204"/>
        <v>-</v>
      </c>
      <c r="EA55" s="166"/>
      <c r="EB55" s="175"/>
      <c r="EC55" s="16" t="s">
        <v>17</v>
      </c>
      <c r="ED55" s="175"/>
      <c r="EE55" s="17" t="str">
        <f t="shared" si="205"/>
        <v>-</v>
      </c>
      <c r="EF55" s="166"/>
      <c r="EG55" s="175"/>
      <c r="EH55" s="16" t="s">
        <v>17</v>
      </c>
      <c r="EI55" s="175"/>
      <c r="EJ55" s="17" t="str">
        <f t="shared" si="206"/>
        <v>-</v>
      </c>
      <c r="EK55" s="166"/>
      <c r="EL55" s="175"/>
      <c r="EM55" s="16" t="s">
        <v>17</v>
      </c>
      <c r="EN55" s="175"/>
      <c r="EO55" s="17" t="str">
        <f t="shared" si="207"/>
        <v>-</v>
      </c>
      <c r="EP55" s="166"/>
      <c r="EQ55" s="175"/>
      <c r="ER55" s="16" t="s">
        <v>17</v>
      </c>
      <c r="ES55" s="175"/>
      <c r="ET55" s="17" t="str">
        <f t="shared" si="208"/>
        <v>-</v>
      </c>
      <c r="EU55" s="166"/>
      <c r="EV55" s="13"/>
      <c r="EW55" s="14" t="s">
        <v>17</v>
      </c>
      <c r="EX55" s="13"/>
      <c r="EY55" s="19" t="str">
        <f t="shared" si="209"/>
        <v>-</v>
      </c>
      <c r="EZ55" s="166"/>
      <c r="FA55" s="8"/>
    </row>
    <row r="56" spans="1:157" ht="17.399999999999999">
      <c r="A56" s="117" t="s">
        <v>101</v>
      </c>
      <c r="B56" s="118"/>
      <c r="C56" s="119" t="s">
        <v>17</v>
      </c>
      <c r="D56" s="118"/>
      <c r="E56" s="117" t="s">
        <v>98</v>
      </c>
      <c r="F56" s="166"/>
      <c r="G56" s="118"/>
      <c r="H56" s="119" t="s">
        <v>17</v>
      </c>
      <c r="I56" s="118"/>
      <c r="J56" s="120" t="str">
        <f t="shared" si="180"/>
        <v>-</v>
      </c>
      <c r="K56" s="220"/>
      <c r="L56" s="118"/>
      <c r="M56" s="119" t="s">
        <v>17</v>
      </c>
      <c r="N56" s="118"/>
      <c r="O56" s="120" t="str">
        <f t="shared" si="181"/>
        <v>-</v>
      </c>
      <c r="P56" s="220"/>
      <c r="Q56" s="118"/>
      <c r="R56" s="119" t="s">
        <v>17</v>
      </c>
      <c r="S56" s="118"/>
      <c r="T56" s="120" t="str">
        <f t="shared" si="182"/>
        <v>-</v>
      </c>
      <c r="U56" s="220"/>
      <c r="V56" s="118"/>
      <c r="W56" s="119" t="s">
        <v>17</v>
      </c>
      <c r="X56" s="118"/>
      <c r="Y56" s="120" t="str">
        <f t="shared" si="183"/>
        <v>-</v>
      </c>
      <c r="Z56" s="220"/>
      <c r="AA56" s="118"/>
      <c r="AB56" s="119" t="s">
        <v>17</v>
      </c>
      <c r="AC56" s="118"/>
      <c r="AD56" s="120" t="str">
        <f t="shared" si="184"/>
        <v>-</v>
      </c>
      <c r="AE56" s="220"/>
      <c r="AF56" s="118"/>
      <c r="AG56" s="119" t="s">
        <v>17</v>
      </c>
      <c r="AH56" s="118"/>
      <c r="AI56" s="120" t="str">
        <f t="shared" si="185"/>
        <v>-</v>
      </c>
      <c r="AJ56" s="220"/>
      <c r="AK56" s="118"/>
      <c r="AL56" s="119" t="s">
        <v>17</v>
      </c>
      <c r="AM56" s="118"/>
      <c r="AN56" s="120" t="str">
        <f t="shared" si="186"/>
        <v>-</v>
      </c>
      <c r="AO56" s="220"/>
      <c r="AP56" s="118"/>
      <c r="AQ56" s="119" t="s">
        <v>17</v>
      </c>
      <c r="AR56" s="118"/>
      <c r="AS56" s="120" t="str">
        <f t="shared" si="187"/>
        <v>-</v>
      </c>
      <c r="AT56" s="220"/>
      <c r="AU56" s="118"/>
      <c r="AV56" s="119" t="s">
        <v>17</v>
      </c>
      <c r="AW56" s="118"/>
      <c r="AX56" s="120" t="str">
        <f t="shared" si="188"/>
        <v>-</v>
      </c>
      <c r="AY56" s="168"/>
      <c r="AZ56" s="118"/>
      <c r="BA56" s="119" t="s">
        <v>17</v>
      </c>
      <c r="BB56" s="118"/>
      <c r="BC56" s="120" t="str">
        <f t="shared" si="189"/>
        <v>-</v>
      </c>
      <c r="BD56" s="169"/>
      <c r="BE56" s="118"/>
      <c r="BF56" s="119" t="s">
        <v>17</v>
      </c>
      <c r="BG56" s="118"/>
      <c r="BH56" s="121" t="str">
        <f t="shared" si="190"/>
        <v>-</v>
      </c>
      <c r="BI56" s="169"/>
      <c r="BJ56" s="118"/>
      <c r="BK56" s="119" t="s">
        <v>17</v>
      </c>
      <c r="BL56" s="118"/>
      <c r="BM56" s="121" t="str">
        <f t="shared" si="191"/>
        <v>-</v>
      </c>
      <c r="BN56" s="169"/>
      <c r="BO56" s="118"/>
      <c r="BP56" s="119" t="s">
        <v>17</v>
      </c>
      <c r="BQ56" s="118"/>
      <c r="BR56" s="121" t="str">
        <f t="shared" si="192"/>
        <v>-</v>
      </c>
      <c r="BS56" s="169"/>
      <c r="BT56" s="118"/>
      <c r="BU56" s="119" t="s">
        <v>17</v>
      </c>
      <c r="BV56" s="118"/>
      <c r="BW56" s="121" t="str">
        <f t="shared" si="193"/>
        <v>-</v>
      </c>
      <c r="BX56" s="166"/>
      <c r="BY56" s="226"/>
      <c r="BZ56" s="227" t="s">
        <v>17</v>
      </c>
      <c r="CA56" s="226"/>
      <c r="CB56" s="120" t="str">
        <f t="shared" si="194"/>
        <v>-</v>
      </c>
      <c r="CC56" s="170"/>
      <c r="CD56" s="226"/>
      <c r="CE56" s="227" t="s">
        <v>17</v>
      </c>
      <c r="CF56" s="226"/>
      <c r="CG56" s="120" t="str">
        <f t="shared" si="195"/>
        <v>-</v>
      </c>
      <c r="CH56" s="170"/>
      <c r="CI56" s="226"/>
      <c r="CJ56" s="227" t="s">
        <v>17</v>
      </c>
      <c r="CK56" s="226"/>
      <c r="CL56" s="120" t="str">
        <f t="shared" si="196"/>
        <v>-</v>
      </c>
      <c r="CM56" s="170"/>
      <c r="CN56" s="226"/>
      <c r="CO56" s="227" t="s">
        <v>17</v>
      </c>
      <c r="CP56" s="226"/>
      <c r="CQ56" s="120" t="str">
        <f t="shared" si="197"/>
        <v>-</v>
      </c>
      <c r="CR56" s="170"/>
      <c r="CS56" s="226"/>
      <c r="CT56" s="227" t="s">
        <v>17</v>
      </c>
      <c r="CU56" s="226"/>
      <c r="CV56" s="120" t="str">
        <f t="shared" si="198"/>
        <v>-</v>
      </c>
      <c r="CW56" s="170"/>
      <c r="CX56" s="226"/>
      <c r="CY56" s="227" t="s">
        <v>17</v>
      </c>
      <c r="CZ56" s="226"/>
      <c r="DA56" s="120" t="str">
        <f t="shared" si="199"/>
        <v>-</v>
      </c>
      <c r="DB56" s="170"/>
      <c r="DC56" s="226"/>
      <c r="DD56" s="227" t="s">
        <v>17</v>
      </c>
      <c r="DE56" s="226"/>
      <c r="DF56" s="120" t="str">
        <f t="shared" si="200"/>
        <v>-</v>
      </c>
      <c r="DG56" s="170"/>
      <c r="DH56" s="226"/>
      <c r="DI56" s="227" t="s">
        <v>17</v>
      </c>
      <c r="DJ56" s="226"/>
      <c r="DK56" s="120" t="str">
        <f t="shared" si="201"/>
        <v>-</v>
      </c>
      <c r="DL56" s="170"/>
      <c r="DM56" s="226"/>
      <c r="DN56" s="227" t="s">
        <v>17</v>
      </c>
      <c r="DO56" s="226"/>
      <c r="DP56" s="120" t="str">
        <f t="shared" si="202"/>
        <v>-</v>
      </c>
      <c r="DQ56" s="170"/>
      <c r="DR56" s="226"/>
      <c r="DS56" s="227" t="s">
        <v>17</v>
      </c>
      <c r="DT56" s="226"/>
      <c r="DU56" s="120" t="str">
        <f t="shared" si="203"/>
        <v>-</v>
      </c>
      <c r="DV56" s="170"/>
      <c r="DW56" s="226"/>
      <c r="DX56" s="227" t="s">
        <v>17</v>
      </c>
      <c r="DY56" s="226"/>
      <c r="DZ56" s="120" t="str">
        <f t="shared" si="204"/>
        <v>-</v>
      </c>
      <c r="EA56" s="166"/>
      <c r="EB56" s="226"/>
      <c r="EC56" s="227" t="s">
        <v>17</v>
      </c>
      <c r="ED56" s="226"/>
      <c r="EE56" s="120" t="str">
        <f t="shared" si="205"/>
        <v>-</v>
      </c>
      <c r="EF56" s="166"/>
      <c r="EG56" s="226"/>
      <c r="EH56" s="227" t="s">
        <v>17</v>
      </c>
      <c r="EI56" s="226"/>
      <c r="EJ56" s="120" t="str">
        <f t="shared" si="206"/>
        <v>-</v>
      </c>
      <c r="EK56" s="166"/>
      <c r="EL56" s="226"/>
      <c r="EM56" s="227" t="s">
        <v>17</v>
      </c>
      <c r="EN56" s="226"/>
      <c r="EO56" s="120" t="str">
        <f t="shared" si="207"/>
        <v>-</v>
      </c>
      <c r="EP56" s="166"/>
      <c r="EQ56" s="226"/>
      <c r="ER56" s="227" t="s">
        <v>17</v>
      </c>
      <c r="ES56" s="226"/>
      <c r="ET56" s="120" t="str">
        <f t="shared" si="208"/>
        <v>-</v>
      </c>
      <c r="EU56" s="166"/>
      <c r="EV56" s="118"/>
      <c r="EW56" s="119" t="s">
        <v>17</v>
      </c>
      <c r="EX56" s="118"/>
      <c r="EY56" s="121" t="str">
        <f t="shared" si="209"/>
        <v>-</v>
      </c>
      <c r="EZ56" s="166"/>
      <c r="FA56" s="8"/>
    </row>
    <row r="57" spans="1:157" ht="17.399999999999999">
      <c r="A57" s="122"/>
      <c r="B57" s="122"/>
      <c r="C57" s="123"/>
      <c r="D57" s="122"/>
      <c r="E57" s="122"/>
      <c r="F57" s="166"/>
      <c r="G57" s="306">
        <f>SUM(J51:J56)</f>
        <v>0</v>
      </c>
      <c r="H57" s="301"/>
      <c r="I57" s="301"/>
      <c r="J57" s="179"/>
      <c r="K57" s="180"/>
      <c r="L57" s="306">
        <f>SUM(O51:O56)</f>
        <v>0</v>
      </c>
      <c r="M57" s="301"/>
      <c r="N57" s="301"/>
      <c r="O57" s="179"/>
      <c r="P57" s="180"/>
      <c r="Q57" s="306">
        <f>SUM(T51:T56)</f>
        <v>0</v>
      </c>
      <c r="R57" s="301"/>
      <c r="S57" s="301"/>
      <c r="T57" s="179"/>
      <c r="U57" s="180"/>
      <c r="V57" s="306">
        <f>SUM(Y51:Y56)</f>
        <v>0</v>
      </c>
      <c r="W57" s="301"/>
      <c r="X57" s="301"/>
      <c r="Y57" s="179"/>
      <c r="Z57" s="180"/>
      <c r="AA57" s="306">
        <f>SUM(AD51:AD56)</f>
        <v>0</v>
      </c>
      <c r="AB57" s="301"/>
      <c r="AC57" s="301"/>
      <c r="AD57" s="179"/>
      <c r="AE57" s="180"/>
      <c r="AF57" s="306">
        <f>SUM(AI51:AI56)</f>
        <v>0</v>
      </c>
      <c r="AG57" s="301"/>
      <c r="AH57" s="301"/>
      <c r="AI57" s="179"/>
      <c r="AJ57" s="180"/>
      <c r="AK57" s="306">
        <f>SUM(AN51:AN56)</f>
        <v>0</v>
      </c>
      <c r="AL57" s="301"/>
      <c r="AM57" s="301"/>
      <c r="AN57" s="179"/>
      <c r="AO57" s="180"/>
      <c r="AP57" s="306">
        <f>SUM(AS51:AS56)</f>
        <v>0</v>
      </c>
      <c r="AQ57" s="301"/>
      <c r="AR57" s="301"/>
      <c r="AS57" s="181"/>
      <c r="AT57" s="180"/>
      <c r="AU57" s="306">
        <f>SUM(AX51:AX56)</f>
        <v>0</v>
      </c>
      <c r="AV57" s="301"/>
      <c r="AW57" s="301"/>
      <c r="AX57" s="182"/>
      <c r="AY57" s="168"/>
      <c r="AZ57" s="306">
        <f>SUM(BC51:BC56)</f>
        <v>0</v>
      </c>
      <c r="BA57" s="301"/>
      <c r="BB57" s="301"/>
      <c r="BC57" s="182"/>
      <c r="BD57" s="169"/>
      <c r="BE57" s="306">
        <f>SUM(BH51:BH56)</f>
        <v>0</v>
      </c>
      <c r="BF57" s="301"/>
      <c r="BG57" s="301"/>
      <c r="BH57" s="182"/>
      <c r="BI57" s="169"/>
      <c r="BJ57" s="306">
        <f>SUM(BM51:BM56)</f>
        <v>0</v>
      </c>
      <c r="BK57" s="301"/>
      <c r="BL57" s="301"/>
      <c r="BM57" s="182"/>
      <c r="BN57" s="169"/>
      <c r="BO57" s="306">
        <f>SUM(BR51:BR56)</f>
        <v>0</v>
      </c>
      <c r="BP57" s="301"/>
      <c r="BQ57" s="301"/>
      <c r="BR57" s="182"/>
      <c r="BS57" s="169"/>
      <c r="BT57" s="306">
        <f>SUM(BW51:BW56)</f>
        <v>0</v>
      </c>
      <c r="BU57" s="301"/>
      <c r="BV57" s="301"/>
      <c r="BW57" s="182"/>
      <c r="BX57" s="166"/>
      <c r="BY57" s="306">
        <f>SUM(CB51:CB56)</f>
        <v>0</v>
      </c>
      <c r="BZ57" s="301"/>
      <c r="CA57" s="301"/>
      <c r="CB57" s="182"/>
      <c r="CC57" s="183"/>
      <c r="CD57" s="306">
        <f>SUM(CG51:CG56)</f>
        <v>0</v>
      </c>
      <c r="CE57" s="301"/>
      <c r="CF57" s="301"/>
      <c r="CG57" s="182"/>
      <c r="CH57" s="183"/>
      <c r="CI57" s="306">
        <f>SUM(CL51:CL56)</f>
        <v>0</v>
      </c>
      <c r="CJ57" s="301"/>
      <c r="CK57" s="301"/>
      <c r="CL57" s="182"/>
      <c r="CM57" s="183"/>
      <c r="CN57" s="306">
        <f>SUM(CQ51:CQ56)</f>
        <v>0</v>
      </c>
      <c r="CO57" s="301"/>
      <c r="CP57" s="301"/>
      <c r="CQ57" s="182"/>
      <c r="CR57" s="183"/>
      <c r="CS57" s="306">
        <f>SUM(CV51:CV56)</f>
        <v>0</v>
      </c>
      <c r="CT57" s="301"/>
      <c r="CU57" s="301"/>
      <c r="CV57" s="182"/>
      <c r="CW57" s="183"/>
      <c r="CX57" s="306">
        <f>SUM(DA51:DA56)</f>
        <v>0</v>
      </c>
      <c r="CY57" s="301"/>
      <c r="CZ57" s="301"/>
      <c r="DA57" s="182"/>
      <c r="DB57" s="183"/>
      <c r="DC57" s="306">
        <f>SUM(DF51:DF56)</f>
        <v>0</v>
      </c>
      <c r="DD57" s="301"/>
      <c r="DE57" s="301"/>
      <c r="DF57" s="182"/>
      <c r="DG57" s="183"/>
      <c r="DH57" s="306">
        <f>SUM(DK51:DK56)</f>
        <v>0</v>
      </c>
      <c r="DI57" s="301"/>
      <c r="DJ57" s="301"/>
      <c r="DK57" s="182"/>
      <c r="DL57" s="183"/>
      <c r="DM57" s="306">
        <f>SUM(DP51:DP56)</f>
        <v>0</v>
      </c>
      <c r="DN57" s="301"/>
      <c r="DO57" s="301"/>
      <c r="DP57" s="182"/>
      <c r="DQ57" s="183"/>
      <c r="DR57" s="306">
        <f>SUM(DU51:DU56)</f>
        <v>0</v>
      </c>
      <c r="DS57" s="301"/>
      <c r="DT57" s="301"/>
      <c r="DU57" s="182"/>
      <c r="DV57" s="183"/>
      <c r="DW57" s="306">
        <f>SUM(DZ51:DZ56)</f>
        <v>0</v>
      </c>
      <c r="DX57" s="301"/>
      <c r="DY57" s="301"/>
      <c r="DZ57" s="182"/>
      <c r="EA57" s="166"/>
      <c r="EB57" s="306">
        <f>SUM(EE51:EE56)</f>
        <v>0</v>
      </c>
      <c r="EC57" s="301"/>
      <c r="ED57" s="301"/>
      <c r="EE57" s="182"/>
      <c r="EF57" s="166"/>
      <c r="EG57" s="306">
        <f>SUM(EJ51:EJ56)</f>
        <v>0</v>
      </c>
      <c r="EH57" s="301"/>
      <c r="EI57" s="301"/>
      <c r="EJ57" s="182"/>
      <c r="EK57" s="166"/>
      <c r="EL57" s="306">
        <f>SUM(EO51:EO56)</f>
        <v>0</v>
      </c>
      <c r="EM57" s="301"/>
      <c r="EN57" s="301"/>
      <c r="EO57" s="182"/>
      <c r="EP57" s="166"/>
      <c r="EQ57" s="306">
        <f>SUM(ET51:ET56)</f>
        <v>0</v>
      </c>
      <c r="ER57" s="301"/>
      <c r="ES57" s="301"/>
      <c r="ET57" s="182"/>
      <c r="EU57" s="166"/>
      <c r="EV57" s="306">
        <f>SUM(EY51:EY56)</f>
        <v>0</v>
      </c>
      <c r="EW57" s="301"/>
      <c r="EX57" s="301"/>
      <c r="EY57" s="182"/>
      <c r="EZ57" s="166"/>
      <c r="FA57" s="8"/>
    </row>
    <row r="58" spans="1:157" ht="17.399999999999999">
      <c r="A58" s="332" t="s">
        <v>51</v>
      </c>
      <c r="B58" s="301"/>
      <c r="C58" s="301"/>
      <c r="D58" s="301"/>
      <c r="E58" s="301"/>
      <c r="F58" s="166"/>
      <c r="G58" s="229"/>
      <c r="H58" s="229"/>
      <c r="I58" s="229"/>
      <c r="J58" s="230"/>
      <c r="K58" s="216"/>
      <c r="L58" s="229"/>
      <c r="M58" s="229"/>
      <c r="N58" s="229"/>
      <c r="O58" s="230"/>
      <c r="P58" s="216"/>
      <c r="Q58" s="229"/>
      <c r="R58" s="229"/>
      <c r="S58" s="229"/>
      <c r="T58" s="230"/>
      <c r="U58" s="216"/>
      <c r="V58" s="229"/>
      <c r="W58" s="229"/>
      <c r="X58" s="229"/>
      <c r="Y58" s="230"/>
      <c r="Z58" s="216"/>
      <c r="AA58" s="229"/>
      <c r="AB58" s="229"/>
      <c r="AC58" s="229"/>
      <c r="AD58" s="230"/>
      <c r="AE58" s="216"/>
      <c r="AF58" s="229"/>
      <c r="AG58" s="229"/>
      <c r="AH58" s="229"/>
      <c r="AI58" s="230"/>
      <c r="AJ58" s="216"/>
      <c r="AK58" s="229"/>
      <c r="AL58" s="229"/>
      <c r="AM58" s="229"/>
      <c r="AN58" s="230"/>
      <c r="AO58" s="216"/>
      <c r="AP58" s="229"/>
      <c r="AQ58" s="229"/>
      <c r="AR58" s="229"/>
      <c r="AS58" s="230"/>
      <c r="AT58" s="181"/>
      <c r="AU58" s="231"/>
      <c r="AV58" s="231"/>
      <c r="AW58" s="231"/>
      <c r="AX58" s="230"/>
      <c r="AY58" s="168"/>
      <c r="AZ58" s="229"/>
      <c r="BA58" s="229"/>
      <c r="BB58" s="229"/>
      <c r="BC58" s="230"/>
      <c r="BD58" s="169"/>
      <c r="BE58" s="229"/>
      <c r="BF58" s="229"/>
      <c r="BG58" s="229"/>
      <c r="BH58" s="229"/>
      <c r="BI58" s="169"/>
      <c r="BJ58" s="229"/>
      <c r="BK58" s="229"/>
      <c r="BL58" s="229"/>
      <c r="BM58" s="229"/>
      <c r="BN58" s="169"/>
      <c r="BO58" s="229"/>
      <c r="BP58" s="229"/>
      <c r="BQ58" s="229"/>
      <c r="BR58" s="229"/>
      <c r="BS58" s="169"/>
      <c r="BT58" s="229"/>
      <c r="BU58" s="229"/>
      <c r="BV58" s="229"/>
      <c r="BW58" s="229"/>
      <c r="BX58" s="166"/>
      <c r="BY58" s="232"/>
      <c r="BZ58" s="232"/>
      <c r="CA58" s="232"/>
      <c r="CB58" s="233"/>
      <c r="CC58" s="183"/>
      <c r="CD58" s="232"/>
      <c r="CE58" s="232"/>
      <c r="CF58" s="232"/>
      <c r="CG58" s="233"/>
      <c r="CH58" s="183"/>
      <c r="CI58" s="232"/>
      <c r="CJ58" s="232"/>
      <c r="CK58" s="232"/>
      <c r="CL58" s="233"/>
      <c r="CM58" s="183"/>
      <c r="CN58" s="232"/>
      <c r="CO58" s="232"/>
      <c r="CP58" s="232"/>
      <c r="CQ58" s="233"/>
      <c r="CR58" s="183"/>
      <c r="CS58" s="232"/>
      <c r="CT58" s="232"/>
      <c r="CU58" s="232"/>
      <c r="CV58" s="233"/>
      <c r="CW58" s="183"/>
      <c r="CX58" s="232"/>
      <c r="CY58" s="232"/>
      <c r="CZ58" s="232"/>
      <c r="DA58" s="232"/>
      <c r="DB58" s="183"/>
      <c r="DC58" s="232"/>
      <c r="DD58" s="232"/>
      <c r="DE58" s="232"/>
      <c r="DF58" s="233"/>
      <c r="DG58" s="183"/>
      <c r="DH58" s="232"/>
      <c r="DI58" s="232"/>
      <c r="DJ58" s="232"/>
      <c r="DK58" s="232"/>
      <c r="DL58" s="183"/>
      <c r="DM58" s="232"/>
      <c r="DN58" s="232"/>
      <c r="DO58" s="232"/>
      <c r="DP58" s="228"/>
      <c r="DQ58" s="183"/>
      <c r="DR58" s="232"/>
      <c r="DS58" s="232"/>
      <c r="DT58" s="232"/>
      <c r="DU58" s="228"/>
      <c r="DV58" s="183"/>
      <c r="DW58" s="232"/>
      <c r="DX58" s="232"/>
      <c r="DY58" s="232"/>
      <c r="DZ58" s="228"/>
      <c r="EA58" s="166"/>
      <c r="EB58" s="232"/>
      <c r="EC58" s="232"/>
      <c r="ED58" s="232"/>
      <c r="EE58" s="229"/>
      <c r="EF58" s="166"/>
      <c r="EG58" s="232"/>
      <c r="EH58" s="232"/>
      <c r="EI58" s="232"/>
      <c r="EJ58" s="228"/>
      <c r="EK58" s="166"/>
      <c r="EL58" s="232"/>
      <c r="EM58" s="232"/>
      <c r="EN58" s="232"/>
      <c r="EO58" s="228"/>
      <c r="EP58" s="166"/>
      <c r="EQ58" s="232"/>
      <c r="ER58" s="232"/>
      <c r="ES58" s="232"/>
      <c r="ET58" s="228"/>
      <c r="EU58" s="166"/>
      <c r="EV58" s="229"/>
      <c r="EW58" s="229"/>
      <c r="EX58" s="229"/>
      <c r="EY58" s="229"/>
      <c r="EZ58" s="166"/>
      <c r="FA58" s="8"/>
    </row>
    <row r="59" spans="1:157" ht="17.399999999999999">
      <c r="A59" s="12" t="s">
        <v>102</v>
      </c>
      <c r="B59" s="13"/>
      <c r="C59" s="14" t="s">
        <v>17</v>
      </c>
      <c r="D59" s="13"/>
      <c r="E59" s="12" t="s">
        <v>103</v>
      </c>
      <c r="F59" s="166"/>
      <c r="G59" s="13"/>
      <c r="H59" s="14" t="s">
        <v>17</v>
      </c>
      <c r="I59" s="13"/>
      <c r="J59" s="17" t="str">
        <f t="shared" ref="J59:J64" si="210">IF(OR(B59="", D59=""), "-",
  IF(OR(G59="", I59=""), 0,
    IF(AND(G59=B59, I59=D59), 10,
      IF(AND(OR(AND(B59&gt;D59, G59&gt;I59), AND(B59&lt;D59, G59&lt;I59), AND(B59=D59, G59=I59)), OR(G59=B59, I59=D59)), 7,
        IF(OR(AND(B59&gt;D59, G59&gt;I59), AND(B59&lt;D59, G59&lt;I59), AND(B59=D59, G59=I59)), 5,
          IF(OR(G59=B59, I59=D59), 2, 0)
        )
      )
    )
  )
)</f>
        <v>-</v>
      </c>
      <c r="K59" s="220"/>
      <c r="L59" s="13"/>
      <c r="M59" s="14" t="s">
        <v>17</v>
      </c>
      <c r="N59" s="13"/>
      <c r="O59" s="17" t="str">
        <f t="shared" ref="O59:O64" si="211">IF(OR(B59="", D59=""), "-",
  IF(OR(L59="", N59=""), 0,
    IF(AND(L59=B59, N59=D59), 10,
      IF(AND(OR(AND(B59&gt;D59, L59&gt;N59), AND(B59&lt;D59, L59&lt;N59), AND(B59=D59, L59=N59)), OR(L59=B59, N59=D59)), 7,
        IF(OR(AND(B59&gt;D59, L59&gt;N59), AND(B59&lt;D59, L59&lt;N59), AND(B59=D59, L59=N59)), 5,
          IF(OR(L59=B59, N59=D59), 2, 0)
        )
      )
    )
  )
)</f>
        <v>-</v>
      </c>
      <c r="P59" s="220"/>
      <c r="Q59" s="13"/>
      <c r="R59" s="14" t="s">
        <v>17</v>
      </c>
      <c r="S59" s="13"/>
      <c r="T59" s="17" t="str">
        <f t="shared" ref="T59:T64" si="212">IF(OR(B59="", D59=""), "-",
  IF(OR(Q59="", S59=""), 0,
    IF(AND(Q59=B59, S59=D59), 10,
      IF(AND(OR(AND(B59&gt;D59, Q59&gt;S59), AND(B59&lt;D59, Q59&lt;S59), AND(B59=D59, Q59=S59)), OR(Q59=B59, S59=D59)), 7,
        IF(OR(AND(B59&gt;D59, Q59&gt;S59), AND(B59&lt;D59, Q59&lt;S59), AND(B59=D59, Q59=S59)), 5,
          IF(OR(Q59=B59, S59=D59), 2, 0)
        )
      )
    )
  )
)</f>
        <v>-</v>
      </c>
      <c r="U59" s="220"/>
      <c r="V59" s="13"/>
      <c r="W59" s="14" t="s">
        <v>17</v>
      </c>
      <c r="X59" s="13"/>
      <c r="Y59" s="17" t="str">
        <f t="shared" ref="Y59:Y64" si="213">IF(OR(B59="", D59=""), "-",
  IF(OR(V59="", X59=""), 0,
    IF(AND(V59=B59, X59=D59), 10,
      IF(AND(OR(AND(B59&gt;D59, V59&gt;X59), AND(B59&lt;D59, V59&lt;X59), AND(B59=D59, V59=X59)), OR(V59=B59, X59=D59)), 7,
        IF(OR(AND(B59&gt;D59, V59&gt;X59), AND(B59&lt;D59, V59&lt;X59), AND(B59=D59, V59=X59)), 5,
          IF(OR(V59=B59, X59=D59), 2, 0)
        )
      )
    )
  )
)</f>
        <v>-</v>
      </c>
      <c r="Z59" s="220"/>
      <c r="AA59" s="13"/>
      <c r="AB59" s="14" t="s">
        <v>17</v>
      </c>
      <c r="AC59" s="13"/>
      <c r="AD59" s="17" t="str">
        <f t="shared" ref="AD59:AD64" si="214">IF(OR(B59="", D59=""), "-",
  IF(OR(AA59="", AC59=""), 0,
    IF(AND(AA59=B59, AC59=D59), 10,
      IF(AND(OR(AND(B59&gt;D59, AA59&gt;AC59), AND(B59&lt;D59, AA59&lt;AC59), AND(B59=D59, AA59=AC59)), OR(AA59=B59, AC59=D59)), 7,
        IF(OR(AND(B59&gt;D59, AA59&gt;AC59), AND(B59&lt;D59, AA59&lt;AC59), AND(B59=D59, AA59=AC59)), 5,
          IF(OR(AA59=B59, AC59=D59), 2, 0)
        )
      )
    )
  )
)</f>
        <v>-</v>
      </c>
      <c r="AE59" s="220"/>
      <c r="AF59" s="13"/>
      <c r="AG59" s="14" t="s">
        <v>17</v>
      </c>
      <c r="AH59" s="13"/>
      <c r="AI59" s="17" t="str">
        <f t="shared" ref="AI59:AI64" si="215">IF(OR(B59="", D59=""), "-",
  IF(OR(AF59="", AH59=""), 0,
    IF(AND(AF59=B59, AH59=D59), 10,
      IF(AND(OR(AND(B59&gt;D59, AF59&gt;AH59), AND(B59&lt;D59, AF59&lt;AH59), AND(B59=D59, AF59=AH59)), OR(AF59=B59, AH59=D59)), 7,
        IF(OR(AND(B59&gt;D59, AF59&gt;AH59), AND(B59&lt;D59, AF59&lt;AH59), AND(B59=D59, AF59=AH59)), 5,
          IF(OR(AF59=B59, AH59=D59), 2, 0)
        )
      )
    )
  )
)</f>
        <v>-</v>
      </c>
      <c r="AJ59" s="220"/>
      <c r="AK59" s="13"/>
      <c r="AL59" s="14" t="s">
        <v>17</v>
      </c>
      <c r="AM59" s="13"/>
      <c r="AN59" s="17" t="str">
        <f t="shared" ref="AN59:AN64" si="216">IF(OR(B59="", D59=""), "-",
  IF(OR(AK59="", AM59=""), 0,
    IF(AND(AK59=B59, AM59=D59), 10,
      IF(AND(OR(AND(B59&gt;D59, AK59&gt;AM59), AND(B59&lt;D59, AK59&lt;AM59), AND(B59=D59, AK59=AM59)), OR(AK59=B59, AM59=D59)), 7,
        IF(OR(AND(B59&gt;D59, AK59&gt;AM59), AND(B59&lt;D59, AK59&lt;AM59), AND(B59=D59, AK59=AM59)), 5,
          IF(OR(AK59=B59, AM59=D59), 2, 0)
        )
      )
    )
  )
)</f>
        <v>-</v>
      </c>
      <c r="AO59" s="220"/>
      <c r="AP59" s="13"/>
      <c r="AQ59" s="14" t="s">
        <v>17</v>
      </c>
      <c r="AR59" s="13"/>
      <c r="AS59" s="17" t="str">
        <f t="shared" ref="AS59:AS64" si="217">IF(OR(B59="", D59=""), "-",
  IF(OR(AP59="", AR59=""), 0,
    IF(AND(AP59=B59, AR59=D59), 10,
      IF(AND(OR(AND(B59&gt;D59, AP59&gt;AR59), AND(B59&lt;D59, AP59&lt;AR59), AND(B59=D59, AP59=AR59)), OR(AP59=B59, AR59=D59)), 7,
        IF(OR(AND(B59&gt;D59, AP59&gt;AR59), AND(B59&lt;D59, AP59&lt;AR59), AND(B59=D59, AP59=AR59)), 5,
          IF(OR(AP59=B59, AR59=D59), 2, 0)
        )
      )
    )
  )
)</f>
        <v>-</v>
      </c>
      <c r="AT59" s="220"/>
      <c r="AU59" s="13"/>
      <c r="AV59" s="14" t="s">
        <v>17</v>
      </c>
      <c r="AW59" s="13"/>
      <c r="AX59" s="17" t="str">
        <f t="shared" ref="AX59:AX64" si="218">IF(OR(B59="", D59=""), "-",
  IF(OR(AU59="", AW59=""), 0,
    IF(AND(AU59=B59, AW59=D59), 10,
      IF(AND(OR(AND(B59&gt;D59, AU59&gt;AW59), AND(B59&lt;D59, AU59&lt;AW59), AND(B59=D59, AU59=AW59)), OR(AU59=B59, AW59=D59)), 7,
        IF(OR(AND(B59&gt;D59, AU59&gt;AW59), AND(B59&lt;D59, AU59&lt;AW59), AND(B59=D59, AU59=AW59)), 5,
          IF(OR(AU59=B59, AW59=D59), 2, 0)
        )
      )
    )
  )
)</f>
        <v>-</v>
      </c>
      <c r="AY59" s="168"/>
      <c r="AZ59" s="13"/>
      <c r="BA59" s="14" t="s">
        <v>17</v>
      </c>
      <c r="BB59" s="13"/>
      <c r="BC59" s="17" t="str">
        <f t="shared" ref="BC59:BC64" si="219">IF(OR(B59="", D59=""), "-",
  IF(OR(AZ59="", BB59=""), 0,
    IF(AND(AZ59=B59, BB59=D59), 10,
      IF(AND(OR(AND(B59&gt;D59, AZ59&gt;BB59), AND(B59&lt;D59, AZ59&lt;BB59), AND(B59=D59, AZ59=BB59)), OR(AZ59=B59, BB59=D59)), 7,
        IF(OR(AND(B59&gt;D59, AZ59&gt;BB59), AND(B59&lt;D59, AZ59&lt;BB59), AND(B59=D59, AZ59=BB59)), 5,
          IF(OR(AZ59=B59, BB59=D59), 2, 0)
        )
      )
    )
  )
)</f>
        <v>-</v>
      </c>
      <c r="BD59" s="169"/>
      <c r="BE59" s="13"/>
      <c r="BF59" s="14" t="s">
        <v>17</v>
      </c>
      <c r="BG59" s="13"/>
      <c r="BH59" s="19" t="str">
        <f t="shared" ref="BH59:BH64" si="220">IF(OR(B59="", D59=""), "-",
  IF(OR(BE59="", BG59=""), 0,
    IF(AND(BE59=B59, BG59=D59), 10,
      IF(AND(OR(AND(B59&gt;D59, BE59&gt;BG59), AND(B59&lt;D59, BE59&lt;BG59), AND(B59=D59, BE59=BG59)), OR(BE59=B59, BG59=D59)), 7,
        IF(OR(AND(B59&gt;D59, BE59&gt;BG59), AND(B59&lt;D59, BE59&lt;BG59), AND(B59=D59, BE59=BG59)), 5,
          IF(OR(BE59=B59, BG59=D59), 2, 0)
        )
      )
    )
  )
)</f>
        <v>-</v>
      </c>
      <c r="BI59" s="169"/>
      <c r="BJ59" s="13"/>
      <c r="BK59" s="14" t="s">
        <v>17</v>
      </c>
      <c r="BL59" s="13"/>
      <c r="BM59" s="19" t="str">
        <f t="shared" ref="BM59:BM64" si="221">IF(OR(B59="", D59=""), "-",
  IF(OR(BJ59="", BL59=""), 0,
    IF(AND(BJ59=B59, BL59=D59), 10,
      IF(AND(OR(AND(B59&gt;D59, BJ59&gt;BL59), AND(B59&lt;D59, BJ59&lt;BL59), AND(B59=D59, BJ59=BL59)), OR(BJ59=B59, BL59=D59)), 7,
        IF(OR(AND(B59&gt;D59, BJ59&gt;BL59), AND(B59&lt;D59, BJ59&lt;BL59), AND(B59=D59, BJ59=BL59)), 5,
          IF(OR(BJ59=B59, BL59=D59), 2, 0)
        )
      )
    )
  )
)</f>
        <v>-</v>
      </c>
      <c r="BN59" s="169"/>
      <c r="BO59" s="13"/>
      <c r="BP59" s="14" t="s">
        <v>17</v>
      </c>
      <c r="BQ59" s="13"/>
      <c r="BR59" s="19" t="str">
        <f t="shared" ref="BR59:BR64" si="222">IF(OR(B59="", D59=""), "-",
  IF(OR(BO59="", BQ59=""), 0,
    IF(AND(BO59=B59, BQ59=D59), 10,
      IF(AND(OR(AND(B59&gt;D59, BO59&gt;BQ59), AND(B59&lt;D59, BO59&lt;BQ59), AND(B59=D59, BO59=BQ59)), OR(BO59=B59, BQ59=D59)), 7,
        IF(OR(AND(B59&gt;D59, BO59&gt;BQ59), AND(B59&lt;D59, BO59&lt;BQ59), AND(B59=D59, BO59=BQ59)), 5,
          IF(OR(BO59=B59, BQ59=D59), 2, 0)
        )
      )
    )
  )
)</f>
        <v>-</v>
      </c>
      <c r="BS59" s="169"/>
      <c r="BT59" s="13"/>
      <c r="BU59" s="14" t="s">
        <v>17</v>
      </c>
      <c r="BV59" s="13"/>
      <c r="BW59" s="19" t="str">
        <f t="shared" ref="BW59:BW64" si="223">IF(OR(B59="", D59=""), "-",
  IF(OR(BT59="", BV59=""), 0,
    IF(AND(BT59=B59, BV59=D59), 10,
      IF(AND(OR(AND(B59&gt;D59, BT59&gt;BV59), AND(B59&lt;D59, BT59&lt;BV59), AND(B59=D59, BT59=BV59)), OR(BT59=B59, BV59=D59)), 7,
        IF(OR(AND(B59&gt;D59, BT59&gt;BV59), AND(B59&lt;D59, BT59&lt;BV59), AND(B59=D59, BT59=BV59)), 5,
          IF(OR(BT59=B59, BV59=D59), 2, 0)
        )
      )
    )
  )
)</f>
        <v>-</v>
      </c>
      <c r="BX59" s="166"/>
      <c r="BY59" s="175"/>
      <c r="BZ59" s="16" t="s">
        <v>17</v>
      </c>
      <c r="CA59" s="175"/>
      <c r="CB59" s="17" t="str">
        <f t="shared" ref="CB59:CB64" si="224">IF(OR(B59="", D59=""), "-",
  IF(OR(BY59="", CA59=""), 0,
    IF(AND(BY59=B59, CA59=D59), 10,
      IF(AND(OR(AND(B59&gt;D59, BY59&gt;CA59), AND(B59&lt;D59, BY59&lt;CA59), AND(B59=D59, BY59=CA59)), OR(BY59=B59, CA59=D59)), 7,
        IF(OR(AND(B59&gt;D59, BY59&gt;CA59), AND(B59&lt;D59, BY59&lt;CA59), AND(B59=D59, BY59=CA59)), 5,
          IF(OR(BY59=B59, CA59=D59), 2, 0)
        )
      )
    )
  )
)</f>
        <v>-</v>
      </c>
      <c r="CC59" s="170"/>
      <c r="CD59" s="175"/>
      <c r="CE59" s="16" t="s">
        <v>17</v>
      </c>
      <c r="CF59" s="175"/>
      <c r="CG59" s="17" t="str">
        <f t="shared" ref="CG59:CG64" si="225">IF(OR(B59="", D59=""), "-",
  IF(OR(CD59="", CF59=""), 0,
    IF(AND(CD59=B59, CF59=D59), 10,
      IF(AND(OR(AND(B59&gt;D59, CD59&gt;CF59), AND(B59&lt;D59, CD59&lt;CF59), AND(B59=D59, CD59=CF59)), OR(CD59=B59, CF59=D59)), 7,
        IF(OR(AND(B59&gt;D59, CD59&gt;CF59), AND(B59&lt;D59, CD59&lt;CF59), AND(B59=D59, CD59=CF59)), 5,
          IF(OR(CD59=B59, CF59=D59), 2, 0)
        )
      )
    )
  )
)</f>
        <v>-</v>
      </c>
      <c r="CH59" s="170"/>
      <c r="CI59" s="175"/>
      <c r="CJ59" s="16" t="s">
        <v>17</v>
      </c>
      <c r="CK59" s="175"/>
      <c r="CL59" s="17" t="str">
        <f t="shared" ref="CL59:CL64" si="226">IF(OR(B59="", D59=""), "-",
  IF(OR(CI59="", CK59=""), 0,
    IF(AND(CI59=B59, CK59=D59), 10,
      IF(AND(OR(AND(B59&gt;D59, CI59&gt;CK59), AND(B59&lt;D59, CI59&lt;CK59), AND(B59=D59, CI59=CK59)), OR(CI59=B59, CK59=D59)), 7,
        IF(OR(AND(B59&gt;D59, CI59&gt;CK59), AND(B59&lt;D59, CI59&lt;CK59), AND(B59=D59, CI59=CK59)), 5,
          IF(OR(CI59=B59, CK59=D59), 2, 0)
        )
      )
    )
  )
)</f>
        <v>-</v>
      </c>
      <c r="CM59" s="170"/>
      <c r="CN59" s="175"/>
      <c r="CO59" s="16" t="s">
        <v>17</v>
      </c>
      <c r="CP59" s="175"/>
      <c r="CQ59" s="17" t="str">
        <f t="shared" ref="CQ59:CQ64" si="227">IF(OR(B59="", D59=""), "-",
  IF(OR(CN59="", CP59=""), 0,
    IF(AND(CN59=B59, CP59=D59), 10,
      IF(AND(OR(AND(B59&gt;D59, CN59&gt;CP59), AND(B59&lt;D59, CN59&lt;CP59), AND(B59=D59, CN59=CP59)), OR(CN59=B59, CP59=D59)), 7,
        IF(OR(AND(B59&gt;D59, CN59&gt;CP59), AND(B59&lt;D59, CN59&lt;CP59), AND(B59=D59, CN59=CP59)), 5,
          IF(OR(CN59=B59, CP59=D59), 2, 0)
        )
      )
    )
  )
)</f>
        <v>-</v>
      </c>
      <c r="CR59" s="170"/>
      <c r="CS59" s="175"/>
      <c r="CT59" s="16" t="s">
        <v>17</v>
      </c>
      <c r="CU59" s="175"/>
      <c r="CV59" s="17" t="str">
        <f t="shared" ref="CV59:CV64" si="228">IF(OR(B59="", D59=""), "-",
  IF(OR(CS59="", CU59=""), 0,
    IF(AND(CS59=B59, CU59=D59), 10,
      IF(AND(OR(AND(B59&gt;D59, CS59&gt;CU59), AND(B59&lt;D59, CS59&lt;CU59), AND(B59=D59, CS59=CU59)), OR(CS59=B59, CU59=D59)), 7,
        IF(OR(AND(B59&gt;D59, CS59&gt;CU59), AND(B59&lt;D59, CS59&lt;CU59), AND(B59=D59, CS59=CU59)), 5,
          IF(OR(CS59=B59, CU59=D59), 2, 0)
        )
      )
    )
  )
)</f>
        <v>-</v>
      </c>
      <c r="CW59" s="170"/>
      <c r="CX59" s="175"/>
      <c r="CY59" s="16" t="s">
        <v>17</v>
      </c>
      <c r="CZ59" s="175"/>
      <c r="DA59" s="17" t="str">
        <f t="shared" ref="DA59:DA64" si="229">IF(OR(B59="", D59=""), "-",
  IF(OR(CX59="", CZ59=""), 0,
    IF(AND(CX59=B59, CZ59=D59), 10,
      IF(AND(OR(AND(B59&gt;D59, CX59&gt;CZ59), AND(B59&lt;D59, CX59&lt;CZ59), AND(B59=D59, CX59=CZ59)), OR(CX59=B59, CZ59=D59)), 7,
        IF(OR(AND(B59&gt;D59, CX59&gt;CZ59), AND(B59&lt;D59, CX59&lt;CZ59), AND(B59=D59, CX59=CZ59)), 5,
          IF(OR(CX59=B59, CZ59=D59), 2, 0)
        )
      )
    )
  )
)</f>
        <v>-</v>
      </c>
      <c r="DB59" s="170"/>
      <c r="DC59" s="175"/>
      <c r="DD59" s="16" t="s">
        <v>17</v>
      </c>
      <c r="DE59" s="175"/>
      <c r="DF59" s="17" t="str">
        <f t="shared" ref="DF59:DF64" si="230">IF(OR(B59="", D59=""), "-",
  IF(OR(DC59="", DE59=""), 0,
    IF(AND(DC59=B59, DE59=D59), 10,
      IF(AND(OR(AND(B59&gt;D59, DC59&gt;DE59), AND(B59&lt;D59, DC59&lt;DE59), AND(B59=D59, DC59=DE59)), OR(DC59=B59, DE59=D59)), 7,
        IF(OR(AND(B59&gt;D59, DC59&gt;DE59), AND(B59&lt;D59, DC59&lt;DE59), AND(B59=D59, DC59=DE59)), 5,
          IF(OR(DC59=B59, DE59=D59), 2, 0)
        )
      )
    )
  )
)</f>
        <v>-</v>
      </c>
      <c r="DG59" s="170"/>
      <c r="DH59" s="175"/>
      <c r="DI59" s="16" t="s">
        <v>17</v>
      </c>
      <c r="DJ59" s="175"/>
      <c r="DK59" s="17" t="str">
        <f t="shared" ref="DK59:DK64" si="231">IF(OR(B59="", D59=""), "-",
  IF(OR(DH59="", DJ59=""), 0,
    IF(AND(DH59=B59, DJ59=D59), 10,
      IF(AND(OR(AND(B59&gt;D59, DH59&gt;DJ59), AND(B59&lt;D59, DH59&lt;DJ59), AND(B59=D59, DH59=DJ59)), OR(DH59=B59, DJ59=D59)), 7,
        IF(OR(AND(B59&gt;D59, DH59&gt;DJ59), AND(B59&lt;D59, DH59&lt;DJ59), AND(B59=D59, DH59=DJ59)), 5,
          IF(OR(DH59=B59, DJ59=D59), 2, 0)
        )
      )
    )
  )
)</f>
        <v>-</v>
      </c>
      <c r="DL59" s="170"/>
      <c r="DM59" s="175"/>
      <c r="DN59" s="16" t="s">
        <v>17</v>
      </c>
      <c r="DO59" s="175"/>
      <c r="DP59" s="17" t="str">
        <f t="shared" ref="DP59:DP64" si="232">IF(OR(B59="", D59=""), "-",
  IF(OR(DM59="", DO59=""), 0,
    IF(AND(DM59=B59, DO59=D59), 10,
      IF(AND(OR(AND(B59&gt;D59, DM59&gt;DO59), AND(B59&lt;D59, DM59&lt;DO59), AND(B59=D59, DM59=DO59)), OR(DM59=B59, DO59=D59)), 7,
        IF(OR(AND(B59&gt;D59, DM59&gt;DO59), AND(B59&lt;D59, DM59&lt;DO59), AND(B59=D59, DM59=DO59)), 5,
          IF(OR(DM59=B59, DO59=D59), 2, 0)
        )
      )
    )
  )
)</f>
        <v>-</v>
      </c>
      <c r="DQ59" s="170"/>
      <c r="DR59" s="175"/>
      <c r="DS59" s="16" t="s">
        <v>17</v>
      </c>
      <c r="DT59" s="175"/>
      <c r="DU59" s="17" t="str">
        <f t="shared" ref="DU59:DU64" si="233">IF(OR(B59="", D59=""), "-",
  IF(OR(DR59="", DT59=""), 0,
    IF(AND(DR59=B59, DT59=D59), 10,
      IF(AND(OR(AND(B59&gt;D59, DR59&gt;DT59), AND(B59&lt;D59, DR59&lt;DT59), AND(B59=D59, DR59=DT59)), OR(DR59=B59, DT59=D59)), 7,
        IF(OR(AND(B59&gt;D59, DR59&gt;DT59), AND(B59&lt;D59, DR59&lt;DT59), AND(B59=D59, DR59=DT59)), 5,
          IF(OR(DR59=B59, DT59=D59), 2, 0)
        )
      )
    )
  )
)</f>
        <v>-</v>
      </c>
      <c r="DV59" s="170"/>
      <c r="DW59" s="175"/>
      <c r="DX59" s="16" t="s">
        <v>17</v>
      </c>
      <c r="DY59" s="175"/>
      <c r="DZ59" s="17" t="str">
        <f t="shared" ref="DZ59:DZ64" si="234">IF(OR(B59="", D59=""), "-",
  IF(OR(DW59="", DY59=""), 0,
    IF(AND(DW59=B59, DY59=D59), 10,
      IF(AND(OR(AND(B59&gt;D59, DW59&gt;DY59), AND(B59&lt;D59, DW59&lt;DY59), AND(B59=D59, DW59=DY59)), OR(DW59=B59, DY59=D59)), 7,
        IF(OR(AND(B59&gt;D59, DW59&gt;DY59), AND(B59&lt;D59, DW59&lt;DY59), AND(B59=D59, DW59=DY59)), 5,
          IF(OR(DW59=B59, DY59=D59), 2, 0)
        )
      )
    )
  )
)</f>
        <v>-</v>
      </c>
      <c r="EA59" s="166"/>
      <c r="EB59" s="175"/>
      <c r="EC59" s="16" t="s">
        <v>17</v>
      </c>
      <c r="ED59" s="175"/>
      <c r="EE59" s="17" t="str">
        <f t="shared" ref="EE59:EE64" si="235">IF(OR(B59="", D59=""), "-",
  IF(OR(EB59="", ED59=""), 0,
    IF(AND(EB59=B59, ED59=D59), 10,
      IF(AND(OR(AND(B59&gt;D59, EB59&gt;ED59), AND(B59&lt;D59, EB59&lt;ED59), AND(B59=D59, EB59=ED59)), OR(EB59=B59, ED59=D59)), 7,
        IF(OR(AND(B59&gt;D59, EB59&gt;ED59), AND(B59&lt;D59, EB59&lt;ED59), AND(B59=D59, EB59=ED59)), 5,
          IF(OR(EB59=B59, ED59=D59), 2, 0)
        )
      )
    )
  )
)</f>
        <v>-</v>
      </c>
      <c r="EF59" s="166"/>
      <c r="EG59" s="175"/>
      <c r="EH59" s="16" t="s">
        <v>17</v>
      </c>
      <c r="EI59" s="175"/>
      <c r="EJ59" s="17" t="str">
        <f t="shared" ref="EJ59:EJ64" si="236">IF(OR(B59="", D59=""), "-",
  IF(OR(EG59="", EI59=""), 0,
    IF(AND(EG59=B59, EI59=D59), 10,
      IF(AND(OR(AND(B59&gt;D59, EG59&gt;EI59), AND(B59&lt;D59, EG59&lt;EI59), AND(B59=D59, EG59=EI59)), OR(EG59=B59, EI59=D59)), 7,
        IF(OR(AND(B59&gt;D59, EG59&gt;EI59), AND(B59&lt;D59, EG59&lt;EI59), AND(B59=D59, EG59=EI59)), 5,
          IF(OR(EG59=B59, EI59=D59), 2, 0)
        )
      )
    )
  )
)</f>
        <v>-</v>
      </c>
      <c r="EK59" s="166"/>
      <c r="EL59" s="175"/>
      <c r="EM59" s="16" t="s">
        <v>17</v>
      </c>
      <c r="EN59" s="175"/>
      <c r="EO59" s="17" t="str">
        <f t="shared" ref="EO59:EO64" si="237">IF(OR(B59="", D59=""), "-",
  IF(OR(EL59="", EN59=""), 0,
    IF(AND(EL59=B59, EN59=D59), 10,
      IF(AND(OR(AND(B59&gt;D59, EL59&gt;EN59), AND(B59&lt;D59, EL59&lt;EN59), AND(B59=D59, EL59=EN59)), OR(EL59=B59, EN59=D59)), 7,
        IF(OR(AND(B59&gt;D59, EL59&gt;EN59), AND(B59&lt;D59, EL59&lt;EN59), AND(B59=D59, EL59=EN59)), 5,
          IF(OR(EL59=B59, EN59=D59), 2, 0)
        )
      )
    )
  )
)</f>
        <v>-</v>
      </c>
      <c r="EP59" s="166"/>
      <c r="EQ59" s="175"/>
      <c r="ER59" s="16" t="s">
        <v>17</v>
      </c>
      <c r="ES59" s="175"/>
      <c r="ET59" s="17" t="str">
        <f t="shared" ref="ET59:ET64" si="238">IF(OR(B59="", D59=""), "-",
  IF(OR(EQ59="", ES59=""), 0,
    IF(AND(EQ59=B59, ES59=D59), 10,
      IF(AND(OR(AND(B59&gt;D59, EQ59&gt;ES59), AND(B59&lt;D59, EQ59&lt;ES59), AND(B59=D59, EQ59=ES59)), OR(EQ59=B59, ES59=D59)), 7,
        IF(OR(AND(B59&gt;D59, EQ59&gt;ES59), AND(B59&lt;D59, EQ59&lt;ES59), AND(B59=D59, EQ59=ES59)), 5,
          IF(OR(EQ59=B59, ES59=D59), 2, 0)
        )
      )
    )
  )
)</f>
        <v>-</v>
      </c>
      <c r="EU59" s="166"/>
      <c r="EV59" s="13"/>
      <c r="EW59" s="14" t="s">
        <v>17</v>
      </c>
      <c r="EX59" s="13"/>
      <c r="EY59" s="19" t="str">
        <f t="shared" ref="EY59:EY64" si="239">IF(OR(B59="", D59=""), "-",
  IF(OR(EV59="", EX59=""), 0,
    IF(AND(EV59=B59, EX59=D59), 10,
      IF(AND(OR(AND(B59&gt;D59, EV59&gt;EX59), AND(B59&lt;D59, EV59&lt;EX59), AND(B59=D59, EV59=EX59)), OR(EV59=B59, EX59=D59)), 7,
        IF(OR(AND(B59&gt;D59, EV59&gt;EX59), AND(B59&lt;D59, EV59&lt;EX59), AND(B59=D59, EV59=EX59)), 5,
          IF(OR(EV59=B59, EX59=D59), 2, 0)
        )
      )
    )
  )
)</f>
        <v>-</v>
      </c>
      <c r="EZ59" s="166"/>
      <c r="FA59" s="8"/>
    </row>
    <row r="60" spans="1:157" ht="17.399999999999999">
      <c r="A60" s="234" t="s">
        <v>104</v>
      </c>
      <c r="B60" s="235"/>
      <c r="C60" s="236" t="s">
        <v>17</v>
      </c>
      <c r="D60" s="235"/>
      <c r="E60" s="234" t="s">
        <v>105</v>
      </c>
      <c r="F60" s="166"/>
      <c r="G60" s="235"/>
      <c r="H60" s="236" t="s">
        <v>17</v>
      </c>
      <c r="I60" s="235"/>
      <c r="J60" s="237" t="str">
        <f t="shared" si="210"/>
        <v>-</v>
      </c>
      <c r="K60" s="220"/>
      <c r="L60" s="235"/>
      <c r="M60" s="236" t="s">
        <v>17</v>
      </c>
      <c r="N60" s="235"/>
      <c r="O60" s="237" t="str">
        <f t="shared" si="211"/>
        <v>-</v>
      </c>
      <c r="P60" s="220"/>
      <c r="Q60" s="235"/>
      <c r="R60" s="236" t="s">
        <v>17</v>
      </c>
      <c r="S60" s="235"/>
      <c r="T60" s="237" t="str">
        <f t="shared" si="212"/>
        <v>-</v>
      </c>
      <c r="U60" s="220"/>
      <c r="V60" s="235"/>
      <c r="W60" s="236" t="s">
        <v>17</v>
      </c>
      <c r="X60" s="235"/>
      <c r="Y60" s="237" t="str">
        <f t="shared" si="213"/>
        <v>-</v>
      </c>
      <c r="Z60" s="220"/>
      <c r="AA60" s="235"/>
      <c r="AB60" s="236" t="s">
        <v>17</v>
      </c>
      <c r="AC60" s="235"/>
      <c r="AD60" s="237" t="str">
        <f t="shared" si="214"/>
        <v>-</v>
      </c>
      <c r="AE60" s="220"/>
      <c r="AF60" s="235"/>
      <c r="AG60" s="236" t="s">
        <v>17</v>
      </c>
      <c r="AH60" s="235"/>
      <c r="AI60" s="237" t="str">
        <f t="shared" si="215"/>
        <v>-</v>
      </c>
      <c r="AJ60" s="220"/>
      <c r="AK60" s="235"/>
      <c r="AL60" s="236" t="s">
        <v>17</v>
      </c>
      <c r="AM60" s="235"/>
      <c r="AN60" s="237" t="str">
        <f t="shared" si="216"/>
        <v>-</v>
      </c>
      <c r="AO60" s="220"/>
      <c r="AP60" s="235"/>
      <c r="AQ60" s="236" t="s">
        <v>17</v>
      </c>
      <c r="AR60" s="235"/>
      <c r="AS60" s="237" t="str">
        <f t="shared" si="217"/>
        <v>-</v>
      </c>
      <c r="AT60" s="220"/>
      <c r="AU60" s="235"/>
      <c r="AV60" s="236" t="s">
        <v>17</v>
      </c>
      <c r="AW60" s="235"/>
      <c r="AX60" s="237" t="str">
        <f t="shared" si="218"/>
        <v>-</v>
      </c>
      <c r="AY60" s="168"/>
      <c r="AZ60" s="235"/>
      <c r="BA60" s="236" t="s">
        <v>17</v>
      </c>
      <c r="BB60" s="235"/>
      <c r="BC60" s="237" t="str">
        <f t="shared" si="219"/>
        <v>-</v>
      </c>
      <c r="BD60" s="169"/>
      <c r="BE60" s="235"/>
      <c r="BF60" s="236" t="s">
        <v>17</v>
      </c>
      <c r="BG60" s="235"/>
      <c r="BH60" s="238" t="str">
        <f t="shared" si="220"/>
        <v>-</v>
      </c>
      <c r="BI60" s="169"/>
      <c r="BJ60" s="235"/>
      <c r="BK60" s="236" t="s">
        <v>17</v>
      </c>
      <c r="BL60" s="235"/>
      <c r="BM60" s="238" t="str">
        <f t="shared" si="221"/>
        <v>-</v>
      </c>
      <c r="BN60" s="169"/>
      <c r="BO60" s="235"/>
      <c r="BP60" s="236" t="s">
        <v>17</v>
      </c>
      <c r="BQ60" s="235"/>
      <c r="BR60" s="238" t="str">
        <f t="shared" si="222"/>
        <v>-</v>
      </c>
      <c r="BS60" s="169"/>
      <c r="BT60" s="235"/>
      <c r="BU60" s="236" t="s">
        <v>17</v>
      </c>
      <c r="BV60" s="235"/>
      <c r="BW60" s="238" t="str">
        <f t="shared" si="223"/>
        <v>-</v>
      </c>
      <c r="BX60" s="166"/>
      <c r="BY60" s="239"/>
      <c r="BZ60" s="240" t="s">
        <v>17</v>
      </c>
      <c r="CA60" s="239"/>
      <c r="CB60" s="237" t="str">
        <f t="shared" si="224"/>
        <v>-</v>
      </c>
      <c r="CC60" s="170"/>
      <c r="CD60" s="239"/>
      <c r="CE60" s="240" t="s">
        <v>17</v>
      </c>
      <c r="CF60" s="239"/>
      <c r="CG60" s="237" t="str">
        <f t="shared" si="225"/>
        <v>-</v>
      </c>
      <c r="CH60" s="170"/>
      <c r="CI60" s="239"/>
      <c r="CJ60" s="240" t="s">
        <v>17</v>
      </c>
      <c r="CK60" s="239"/>
      <c r="CL60" s="237" t="str">
        <f t="shared" si="226"/>
        <v>-</v>
      </c>
      <c r="CM60" s="170"/>
      <c r="CN60" s="239"/>
      <c r="CO60" s="240" t="s">
        <v>17</v>
      </c>
      <c r="CP60" s="239"/>
      <c r="CQ60" s="237" t="str">
        <f t="shared" si="227"/>
        <v>-</v>
      </c>
      <c r="CR60" s="170"/>
      <c r="CS60" s="239"/>
      <c r="CT60" s="240" t="s">
        <v>17</v>
      </c>
      <c r="CU60" s="239"/>
      <c r="CV60" s="237" t="str">
        <f t="shared" si="228"/>
        <v>-</v>
      </c>
      <c r="CW60" s="170"/>
      <c r="CX60" s="239"/>
      <c r="CY60" s="240" t="s">
        <v>17</v>
      </c>
      <c r="CZ60" s="239"/>
      <c r="DA60" s="237" t="str">
        <f t="shared" si="229"/>
        <v>-</v>
      </c>
      <c r="DB60" s="170"/>
      <c r="DC60" s="239"/>
      <c r="DD60" s="240" t="s">
        <v>17</v>
      </c>
      <c r="DE60" s="239"/>
      <c r="DF60" s="237" t="str">
        <f t="shared" si="230"/>
        <v>-</v>
      </c>
      <c r="DG60" s="170"/>
      <c r="DH60" s="239"/>
      <c r="DI60" s="240" t="s">
        <v>17</v>
      </c>
      <c r="DJ60" s="239"/>
      <c r="DK60" s="237" t="str">
        <f t="shared" si="231"/>
        <v>-</v>
      </c>
      <c r="DL60" s="170"/>
      <c r="DM60" s="239"/>
      <c r="DN60" s="240" t="s">
        <v>17</v>
      </c>
      <c r="DO60" s="239"/>
      <c r="DP60" s="237" t="str">
        <f t="shared" si="232"/>
        <v>-</v>
      </c>
      <c r="DQ60" s="170"/>
      <c r="DR60" s="239"/>
      <c r="DS60" s="240" t="s">
        <v>17</v>
      </c>
      <c r="DT60" s="239"/>
      <c r="DU60" s="237" t="str">
        <f t="shared" si="233"/>
        <v>-</v>
      </c>
      <c r="DV60" s="170"/>
      <c r="DW60" s="239"/>
      <c r="DX60" s="240" t="s">
        <v>17</v>
      </c>
      <c r="DY60" s="239"/>
      <c r="DZ60" s="237" t="str">
        <f t="shared" si="234"/>
        <v>-</v>
      </c>
      <c r="EA60" s="166"/>
      <c r="EB60" s="239"/>
      <c r="EC60" s="240" t="s">
        <v>17</v>
      </c>
      <c r="ED60" s="239"/>
      <c r="EE60" s="237" t="str">
        <f t="shared" si="235"/>
        <v>-</v>
      </c>
      <c r="EF60" s="166"/>
      <c r="EG60" s="239"/>
      <c r="EH60" s="240" t="s">
        <v>17</v>
      </c>
      <c r="EI60" s="239"/>
      <c r="EJ60" s="237" t="str">
        <f t="shared" si="236"/>
        <v>-</v>
      </c>
      <c r="EK60" s="166"/>
      <c r="EL60" s="239"/>
      <c r="EM60" s="240" t="s">
        <v>17</v>
      </c>
      <c r="EN60" s="239"/>
      <c r="EO60" s="237" t="str">
        <f t="shared" si="237"/>
        <v>-</v>
      </c>
      <c r="EP60" s="166"/>
      <c r="EQ60" s="239"/>
      <c r="ER60" s="240" t="s">
        <v>17</v>
      </c>
      <c r="ES60" s="239"/>
      <c r="ET60" s="237" t="str">
        <f t="shared" si="238"/>
        <v>-</v>
      </c>
      <c r="EU60" s="166"/>
      <c r="EV60" s="235"/>
      <c r="EW60" s="236" t="s">
        <v>17</v>
      </c>
      <c r="EX60" s="235"/>
      <c r="EY60" s="238" t="str">
        <f t="shared" si="239"/>
        <v>-</v>
      </c>
      <c r="EZ60" s="166"/>
      <c r="FA60" s="8"/>
    </row>
    <row r="61" spans="1:157" ht="17.399999999999999">
      <c r="A61" s="12" t="s">
        <v>102</v>
      </c>
      <c r="B61" s="13"/>
      <c r="C61" s="14" t="s">
        <v>17</v>
      </c>
      <c r="D61" s="13"/>
      <c r="E61" s="12" t="s">
        <v>104</v>
      </c>
      <c r="F61" s="166"/>
      <c r="G61" s="13"/>
      <c r="H61" s="14" t="s">
        <v>17</v>
      </c>
      <c r="I61" s="13"/>
      <c r="J61" s="17" t="str">
        <f t="shared" si="210"/>
        <v>-</v>
      </c>
      <c r="K61" s="220"/>
      <c r="L61" s="13"/>
      <c r="M61" s="14" t="s">
        <v>17</v>
      </c>
      <c r="N61" s="13"/>
      <c r="O61" s="17" t="str">
        <f t="shared" si="211"/>
        <v>-</v>
      </c>
      <c r="P61" s="220"/>
      <c r="Q61" s="13"/>
      <c r="R61" s="14" t="s">
        <v>17</v>
      </c>
      <c r="S61" s="13"/>
      <c r="T61" s="17" t="str">
        <f t="shared" si="212"/>
        <v>-</v>
      </c>
      <c r="U61" s="220"/>
      <c r="V61" s="13"/>
      <c r="W61" s="14" t="s">
        <v>17</v>
      </c>
      <c r="X61" s="13"/>
      <c r="Y61" s="17" t="str">
        <f t="shared" si="213"/>
        <v>-</v>
      </c>
      <c r="Z61" s="220"/>
      <c r="AA61" s="13"/>
      <c r="AB61" s="14" t="s">
        <v>17</v>
      </c>
      <c r="AC61" s="13"/>
      <c r="AD61" s="17" t="str">
        <f t="shared" si="214"/>
        <v>-</v>
      </c>
      <c r="AE61" s="220"/>
      <c r="AF61" s="13"/>
      <c r="AG61" s="14" t="s">
        <v>17</v>
      </c>
      <c r="AH61" s="13"/>
      <c r="AI61" s="17" t="str">
        <f t="shared" si="215"/>
        <v>-</v>
      </c>
      <c r="AJ61" s="220"/>
      <c r="AK61" s="13"/>
      <c r="AL61" s="14" t="s">
        <v>17</v>
      </c>
      <c r="AM61" s="13"/>
      <c r="AN61" s="17" t="str">
        <f t="shared" si="216"/>
        <v>-</v>
      </c>
      <c r="AO61" s="220"/>
      <c r="AP61" s="13"/>
      <c r="AQ61" s="14" t="s">
        <v>17</v>
      </c>
      <c r="AR61" s="13"/>
      <c r="AS61" s="17" t="str">
        <f t="shared" si="217"/>
        <v>-</v>
      </c>
      <c r="AT61" s="220"/>
      <c r="AU61" s="13"/>
      <c r="AV61" s="14" t="s">
        <v>17</v>
      </c>
      <c r="AW61" s="13"/>
      <c r="AX61" s="17" t="str">
        <f t="shared" si="218"/>
        <v>-</v>
      </c>
      <c r="AY61" s="168"/>
      <c r="AZ61" s="13"/>
      <c r="BA61" s="14" t="s">
        <v>17</v>
      </c>
      <c r="BB61" s="13"/>
      <c r="BC61" s="17" t="str">
        <f t="shared" si="219"/>
        <v>-</v>
      </c>
      <c r="BD61" s="169"/>
      <c r="BE61" s="13"/>
      <c r="BF61" s="14" t="s">
        <v>17</v>
      </c>
      <c r="BG61" s="13"/>
      <c r="BH61" s="19" t="str">
        <f t="shared" si="220"/>
        <v>-</v>
      </c>
      <c r="BI61" s="169"/>
      <c r="BJ61" s="13"/>
      <c r="BK61" s="14" t="s">
        <v>17</v>
      </c>
      <c r="BL61" s="13"/>
      <c r="BM61" s="19" t="str">
        <f t="shared" si="221"/>
        <v>-</v>
      </c>
      <c r="BN61" s="169"/>
      <c r="BO61" s="13"/>
      <c r="BP61" s="14" t="s">
        <v>17</v>
      </c>
      <c r="BQ61" s="13"/>
      <c r="BR61" s="19" t="str">
        <f t="shared" si="222"/>
        <v>-</v>
      </c>
      <c r="BS61" s="169"/>
      <c r="BT61" s="13"/>
      <c r="BU61" s="14" t="s">
        <v>17</v>
      </c>
      <c r="BV61" s="13"/>
      <c r="BW61" s="19" t="str">
        <f t="shared" si="223"/>
        <v>-</v>
      </c>
      <c r="BX61" s="166"/>
      <c r="BY61" s="175"/>
      <c r="BZ61" s="16" t="s">
        <v>17</v>
      </c>
      <c r="CA61" s="175"/>
      <c r="CB61" s="17" t="str">
        <f t="shared" si="224"/>
        <v>-</v>
      </c>
      <c r="CC61" s="170"/>
      <c r="CD61" s="175"/>
      <c r="CE61" s="16" t="s">
        <v>17</v>
      </c>
      <c r="CF61" s="175"/>
      <c r="CG61" s="17" t="str">
        <f t="shared" si="225"/>
        <v>-</v>
      </c>
      <c r="CH61" s="170"/>
      <c r="CI61" s="175"/>
      <c r="CJ61" s="16" t="s">
        <v>17</v>
      </c>
      <c r="CK61" s="175"/>
      <c r="CL61" s="17" t="str">
        <f t="shared" si="226"/>
        <v>-</v>
      </c>
      <c r="CM61" s="170"/>
      <c r="CN61" s="175"/>
      <c r="CO61" s="16" t="s">
        <v>17</v>
      </c>
      <c r="CP61" s="175"/>
      <c r="CQ61" s="17" t="str">
        <f t="shared" si="227"/>
        <v>-</v>
      </c>
      <c r="CR61" s="170"/>
      <c r="CS61" s="175"/>
      <c r="CT61" s="16" t="s">
        <v>17</v>
      </c>
      <c r="CU61" s="175"/>
      <c r="CV61" s="17" t="str">
        <f t="shared" si="228"/>
        <v>-</v>
      </c>
      <c r="CW61" s="170"/>
      <c r="CX61" s="175"/>
      <c r="CY61" s="16" t="s">
        <v>17</v>
      </c>
      <c r="CZ61" s="175"/>
      <c r="DA61" s="17" t="str">
        <f t="shared" si="229"/>
        <v>-</v>
      </c>
      <c r="DB61" s="170"/>
      <c r="DC61" s="175"/>
      <c r="DD61" s="16" t="s">
        <v>17</v>
      </c>
      <c r="DE61" s="175"/>
      <c r="DF61" s="17" t="str">
        <f t="shared" si="230"/>
        <v>-</v>
      </c>
      <c r="DG61" s="170"/>
      <c r="DH61" s="175"/>
      <c r="DI61" s="16" t="s">
        <v>17</v>
      </c>
      <c r="DJ61" s="175"/>
      <c r="DK61" s="17" t="str">
        <f t="shared" si="231"/>
        <v>-</v>
      </c>
      <c r="DL61" s="170"/>
      <c r="DM61" s="175"/>
      <c r="DN61" s="16" t="s">
        <v>17</v>
      </c>
      <c r="DO61" s="175"/>
      <c r="DP61" s="17" t="str">
        <f t="shared" si="232"/>
        <v>-</v>
      </c>
      <c r="DQ61" s="170"/>
      <c r="DR61" s="175"/>
      <c r="DS61" s="16" t="s">
        <v>17</v>
      </c>
      <c r="DT61" s="175"/>
      <c r="DU61" s="17" t="str">
        <f t="shared" si="233"/>
        <v>-</v>
      </c>
      <c r="DV61" s="170"/>
      <c r="DW61" s="175"/>
      <c r="DX61" s="16" t="s">
        <v>17</v>
      </c>
      <c r="DY61" s="175"/>
      <c r="DZ61" s="17" t="str">
        <f t="shared" si="234"/>
        <v>-</v>
      </c>
      <c r="EA61" s="166"/>
      <c r="EB61" s="175"/>
      <c r="EC61" s="16" t="s">
        <v>17</v>
      </c>
      <c r="ED61" s="175"/>
      <c r="EE61" s="17" t="str">
        <f t="shared" si="235"/>
        <v>-</v>
      </c>
      <c r="EF61" s="166"/>
      <c r="EG61" s="175"/>
      <c r="EH61" s="16" t="s">
        <v>17</v>
      </c>
      <c r="EI61" s="175"/>
      <c r="EJ61" s="17" t="str">
        <f t="shared" si="236"/>
        <v>-</v>
      </c>
      <c r="EK61" s="166"/>
      <c r="EL61" s="175"/>
      <c r="EM61" s="16" t="s">
        <v>17</v>
      </c>
      <c r="EN61" s="175"/>
      <c r="EO61" s="17" t="str">
        <f t="shared" si="237"/>
        <v>-</v>
      </c>
      <c r="EP61" s="166"/>
      <c r="EQ61" s="175"/>
      <c r="ER61" s="16" t="s">
        <v>17</v>
      </c>
      <c r="ES61" s="175"/>
      <c r="ET61" s="17" t="str">
        <f t="shared" si="238"/>
        <v>-</v>
      </c>
      <c r="EU61" s="166"/>
      <c r="EV61" s="13"/>
      <c r="EW61" s="14" t="s">
        <v>17</v>
      </c>
      <c r="EX61" s="13"/>
      <c r="EY61" s="19" t="str">
        <f t="shared" si="239"/>
        <v>-</v>
      </c>
      <c r="EZ61" s="166"/>
      <c r="FA61" s="8"/>
    </row>
    <row r="62" spans="1:157" ht="17.399999999999999">
      <c r="A62" s="234" t="s">
        <v>105</v>
      </c>
      <c r="B62" s="235"/>
      <c r="C62" s="236" t="s">
        <v>17</v>
      </c>
      <c r="D62" s="235"/>
      <c r="E62" s="234" t="s">
        <v>103</v>
      </c>
      <c r="F62" s="166"/>
      <c r="G62" s="235"/>
      <c r="H62" s="236" t="s">
        <v>17</v>
      </c>
      <c r="I62" s="235"/>
      <c r="J62" s="237" t="str">
        <f t="shared" si="210"/>
        <v>-</v>
      </c>
      <c r="K62" s="220"/>
      <c r="L62" s="235"/>
      <c r="M62" s="236" t="s">
        <v>17</v>
      </c>
      <c r="N62" s="235"/>
      <c r="O62" s="237" t="str">
        <f t="shared" si="211"/>
        <v>-</v>
      </c>
      <c r="P62" s="220"/>
      <c r="Q62" s="235"/>
      <c r="R62" s="236" t="s">
        <v>17</v>
      </c>
      <c r="S62" s="235"/>
      <c r="T62" s="237" t="str">
        <f t="shared" si="212"/>
        <v>-</v>
      </c>
      <c r="U62" s="220"/>
      <c r="V62" s="235"/>
      <c r="W62" s="236" t="s">
        <v>17</v>
      </c>
      <c r="X62" s="235"/>
      <c r="Y62" s="237" t="str">
        <f t="shared" si="213"/>
        <v>-</v>
      </c>
      <c r="Z62" s="220"/>
      <c r="AA62" s="235"/>
      <c r="AB62" s="236" t="s">
        <v>17</v>
      </c>
      <c r="AC62" s="235"/>
      <c r="AD62" s="237" t="str">
        <f t="shared" si="214"/>
        <v>-</v>
      </c>
      <c r="AE62" s="220"/>
      <c r="AF62" s="235"/>
      <c r="AG62" s="236" t="s">
        <v>17</v>
      </c>
      <c r="AH62" s="235"/>
      <c r="AI62" s="237" t="str">
        <f t="shared" si="215"/>
        <v>-</v>
      </c>
      <c r="AJ62" s="220"/>
      <c r="AK62" s="235"/>
      <c r="AL62" s="236" t="s">
        <v>17</v>
      </c>
      <c r="AM62" s="235"/>
      <c r="AN62" s="237" t="str">
        <f t="shared" si="216"/>
        <v>-</v>
      </c>
      <c r="AO62" s="220"/>
      <c r="AP62" s="235"/>
      <c r="AQ62" s="236" t="s">
        <v>17</v>
      </c>
      <c r="AR62" s="235"/>
      <c r="AS62" s="237" t="str">
        <f t="shared" si="217"/>
        <v>-</v>
      </c>
      <c r="AT62" s="220"/>
      <c r="AU62" s="235"/>
      <c r="AV62" s="236" t="s">
        <v>17</v>
      </c>
      <c r="AW62" s="235"/>
      <c r="AX62" s="237" t="str">
        <f t="shared" si="218"/>
        <v>-</v>
      </c>
      <c r="AY62" s="168"/>
      <c r="AZ62" s="235"/>
      <c r="BA62" s="236" t="s">
        <v>17</v>
      </c>
      <c r="BB62" s="235"/>
      <c r="BC62" s="237" t="str">
        <f t="shared" si="219"/>
        <v>-</v>
      </c>
      <c r="BD62" s="169"/>
      <c r="BE62" s="235"/>
      <c r="BF62" s="236" t="s">
        <v>17</v>
      </c>
      <c r="BG62" s="235"/>
      <c r="BH62" s="238" t="str">
        <f t="shared" si="220"/>
        <v>-</v>
      </c>
      <c r="BI62" s="169"/>
      <c r="BJ62" s="235"/>
      <c r="BK62" s="236" t="s">
        <v>17</v>
      </c>
      <c r="BL62" s="235"/>
      <c r="BM62" s="238" t="str">
        <f t="shared" si="221"/>
        <v>-</v>
      </c>
      <c r="BN62" s="169"/>
      <c r="BO62" s="235"/>
      <c r="BP62" s="236" t="s">
        <v>17</v>
      </c>
      <c r="BQ62" s="235"/>
      <c r="BR62" s="238" t="str">
        <f t="shared" si="222"/>
        <v>-</v>
      </c>
      <c r="BS62" s="169"/>
      <c r="BT62" s="235"/>
      <c r="BU62" s="236" t="s">
        <v>17</v>
      </c>
      <c r="BV62" s="235"/>
      <c r="BW62" s="238" t="str">
        <f t="shared" si="223"/>
        <v>-</v>
      </c>
      <c r="BX62" s="166"/>
      <c r="BY62" s="239"/>
      <c r="BZ62" s="240" t="s">
        <v>17</v>
      </c>
      <c r="CA62" s="239"/>
      <c r="CB62" s="237" t="str">
        <f t="shared" si="224"/>
        <v>-</v>
      </c>
      <c r="CC62" s="170"/>
      <c r="CD62" s="239"/>
      <c r="CE62" s="240" t="s">
        <v>17</v>
      </c>
      <c r="CF62" s="239"/>
      <c r="CG62" s="237" t="str">
        <f t="shared" si="225"/>
        <v>-</v>
      </c>
      <c r="CH62" s="170"/>
      <c r="CI62" s="239"/>
      <c r="CJ62" s="240" t="s">
        <v>17</v>
      </c>
      <c r="CK62" s="239"/>
      <c r="CL62" s="237" t="str">
        <f t="shared" si="226"/>
        <v>-</v>
      </c>
      <c r="CM62" s="170"/>
      <c r="CN62" s="239"/>
      <c r="CO62" s="240" t="s">
        <v>17</v>
      </c>
      <c r="CP62" s="239"/>
      <c r="CQ62" s="237" t="str">
        <f t="shared" si="227"/>
        <v>-</v>
      </c>
      <c r="CR62" s="170"/>
      <c r="CS62" s="239"/>
      <c r="CT62" s="240" t="s">
        <v>17</v>
      </c>
      <c r="CU62" s="239"/>
      <c r="CV62" s="237" t="str">
        <f t="shared" si="228"/>
        <v>-</v>
      </c>
      <c r="CW62" s="170"/>
      <c r="CX62" s="239"/>
      <c r="CY62" s="240" t="s">
        <v>17</v>
      </c>
      <c r="CZ62" s="239"/>
      <c r="DA62" s="237" t="str">
        <f t="shared" si="229"/>
        <v>-</v>
      </c>
      <c r="DB62" s="170"/>
      <c r="DC62" s="239"/>
      <c r="DD62" s="240" t="s">
        <v>17</v>
      </c>
      <c r="DE62" s="239"/>
      <c r="DF62" s="237" t="str">
        <f t="shared" si="230"/>
        <v>-</v>
      </c>
      <c r="DG62" s="170"/>
      <c r="DH62" s="239"/>
      <c r="DI62" s="240" t="s">
        <v>17</v>
      </c>
      <c r="DJ62" s="239"/>
      <c r="DK62" s="237" t="str">
        <f t="shared" si="231"/>
        <v>-</v>
      </c>
      <c r="DL62" s="170"/>
      <c r="DM62" s="239"/>
      <c r="DN62" s="240" t="s">
        <v>17</v>
      </c>
      <c r="DO62" s="239"/>
      <c r="DP62" s="237" t="str">
        <f t="shared" si="232"/>
        <v>-</v>
      </c>
      <c r="DQ62" s="170"/>
      <c r="DR62" s="239"/>
      <c r="DS62" s="240" t="s">
        <v>17</v>
      </c>
      <c r="DT62" s="239"/>
      <c r="DU62" s="237" t="str">
        <f t="shared" si="233"/>
        <v>-</v>
      </c>
      <c r="DV62" s="170"/>
      <c r="DW62" s="239"/>
      <c r="DX62" s="240" t="s">
        <v>17</v>
      </c>
      <c r="DY62" s="239"/>
      <c r="DZ62" s="237" t="str">
        <f t="shared" si="234"/>
        <v>-</v>
      </c>
      <c r="EA62" s="166"/>
      <c r="EB62" s="239"/>
      <c r="EC62" s="240" t="s">
        <v>17</v>
      </c>
      <c r="ED62" s="239"/>
      <c r="EE62" s="237" t="str">
        <f t="shared" si="235"/>
        <v>-</v>
      </c>
      <c r="EF62" s="166"/>
      <c r="EG62" s="239"/>
      <c r="EH62" s="240" t="s">
        <v>17</v>
      </c>
      <c r="EI62" s="239"/>
      <c r="EJ62" s="237" t="str">
        <f t="shared" si="236"/>
        <v>-</v>
      </c>
      <c r="EK62" s="166"/>
      <c r="EL62" s="239"/>
      <c r="EM62" s="240" t="s">
        <v>17</v>
      </c>
      <c r="EN62" s="239"/>
      <c r="EO62" s="237" t="str">
        <f t="shared" si="237"/>
        <v>-</v>
      </c>
      <c r="EP62" s="166"/>
      <c r="EQ62" s="239"/>
      <c r="ER62" s="240" t="s">
        <v>17</v>
      </c>
      <c r="ES62" s="239"/>
      <c r="ET62" s="237" t="str">
        <f t="shared" si="238"/>
        <v>-</v>
      </c>
      <c r="EU62" s="166"/>
      <c r="EV62" s="235"/>
      <c r="EW62" s="236" t="s">
        <v>17</v>
      </c>
      <c r="EX62" s="235"/>
      <c r="EY62" s="238" t="str">
        <f t="shared" si="239"/>
        <v>-</v>
      </c>
      <c r="EZ62" s="166"/>
      <c r="FA62" s="8"/>
    </row>
    <row r="63" spans="1:157" ht="17.399999999999999">
      <c r="A63" s="12" t="s">
        <v>103</v>
      </c>
      <c r="B63" s="13"/>
      <c r="C63" s="14" t="s">
        <v>17</v>
      </c>
      <c r="D63" s="13"/>
      <c r="E63" s="12" t="s">
        <v>104</v>
      </c>
      <c r="F63" s="166"/>
      <c r="G63" s="13"/>
      <c r="H63" s="14" t="s">
        <v>17</v>
      </c>
      <c r="I63" s="13"/>
      <c r="J63" s="17" t="str">
        <f t="shared" si="210"/>
        <v>-</v>
      </c>
      <c r="K63" s="220"/>
      <c r="L63" s="13"/>
      <c r="M63" s="14" t="s">
        <v>17</v>
      </c>
      <c r="N63" s="13"/>
      <c r="O63" s="17" t="str">
        <f t="shared" si="211"/>
        <v>-</v>
      </c>
      <c r="P63" s="220"/>
      <c r="Q63" s="13"/>
      <c r="R63" s="14" t="s">
        <v>17</v>
      </c>
      <c r="S63" s="13"/>
      <c r="T63" s="17" t="str">
        <f t="shared" si="212"/>
        <v>-</v>
      </c>
      <c r="U63" s="220"/>
      <c r="V63" s="13"/>
      <c r="W63" s="14" t="s">
        <v>17</v>
      </c>
      <c r="X63" s="13"/>
      <c r="Y63" s="17" t="str">
        <f t="shared" si="213"/>
        <v>-</v>
      </c>
      <c r="Z63" s="220"/>
      <c r="AA63" s="13"/>
      <c r="AB63" s="14" t="s">
        <v>17</v>
      </c>
      <c r="AC63" s="13"/>
      <c r="AD63" s="17" t="str">
        <f t="shared" si="214"/>
        <v>-</v>
      </c>
      <c r="AE63" s="220"/>
      <c r="AF63" s="13"/>
      <c r="AG63" s="14" t="s">
        <v>17</v>
      </c>
      <c r="AH63" s="13"/>
      <c r="AI63" s="17" t="str">
        <f t="shared" si="215"/>
        <v>-</v>
      </c>
      <c r="AJ63" s="220"/>
      <c r="AK63" s="13"/>
      <c r="AL63" s="14" t="s">
        <v>17</v>
      </c>
      <c r="AM63" s="13"/>
      <c r="AN63" s="17" t="str">
        <f t="shared" si="216"/>
        <v>-</v>
      </c>
      <c r="AO63" s="220"/>
      <c r="AP63" s="13"/>
      <c r="AQ63" s="14" t="s">
        <v>17</v>
      </c>
      <c r="AR63" s="13"/>
      <c r="AS63" s="17" t="str">
        <f t="shared" si="217"/>
        <v>-</v>
      </c>
      <c r="AT63" s="220"/>
      <c r="AU63" s="13"/>
      <c r="AV63" s="14" t="s">
        <v>17</v>
      </c>
      <c r="AW63" s="13"/>
      <c r="AX63" s="17" t="str">
        <f t="shared" si="218"/>
        <v>-</v>
      </c>
      <c r="AY63" s="168"/>
      <c r="AZ63" s="13"/>
      <c r="BA63" s="14" t="s">
        <v>17</v>
      </c>
      <c r="BB63" s="13"/>
      <c r="BC63" s="17" t="str">
        <f t="shared" si="219"/>
        <v>-</v>
      </c>
      <c r="BD63" s="169"/>
      <c r="BE63" s="13"/>
      <c r="BF63" s="14" t="s">
        <v>17</v>
      </c>
      <c r="BG63" s="13"/>
      <c r="BH63" s="19" t="str">
        <f t="shared" si="220"/>
        <v>-</v>
      </c>
      <c r="BI63" s="169"/>
      <c r="BJ63" s="13"/>
      <c r="BK63" s="14" t="s">
        <v>17</v>
      </c>
      <c r="BL63" s="13"/>
      <c r="BM63" s="19" t="str">
        <f t="shared" si="221"/>
        <v>-</v>
      </c>
      <c r="BN63" s="169"/>
      <c r="BO63" s="13"/>
      <c r="BP63" s="14" t="s">
        <v>17</v>
      </c>
      <c r="BQ63" s="13"/>
      <c r="BR63" s="19" t="str">
        <f t="shared" si="222"/>
        <v>-</v>
      </c>
      <c r="BS63" s="169"/>
      <c r="BT63" s="13"/>
      <c r="BU63" s="14" t="s">
        <v>17</v>
      </c>
      <c r="BV63" s="13"/>
      <c r="BW63" s="19" t="str">
        <f t="shared" si="223"/>
        <v>-</v>
      </c>
      <c r="BX63" s="166"/>
      <c r="BY63" s="175"/>
      <c r="BZ63" s="16" t="s">
        <v>17</v>
      </c>
      <c r="CA63" s="175"/>
      <c r="CB63" s="17" t="str">
        <f t="shared" si="224"/>
        <v>-</v>
      </c>
      <c r="CC63" s="170"/>
      <c r="CD63" s="175"/>
      <c r="CE63" s="16" t="s">
        <v>17</v>
      </c>
      <c r="CF63" s="175"/>
      <c r="CG63" s="17" t="str">
        <f t="shared" si="225"/>
        <v>-</v>
      </c>
      <c r="CH63" s="170"/>
      <c r="CI63" s="175"/>
      <c r="CJ63" s="16" t="s">
        <v>17</v>
      </c>
      <c r="CK63" s="175"/>
      <c r="CL63" s="17" t="str">
        <f t="shared" si="226"/>
        <v>-</v>
      </c>
      <c r="CM63" s="170"/>
      <c r="CN63" s="175"/>
      <c r="CO63" s="16" t="s">
        <v>17</v>
      </c>
      <c r="CP63" s="175"/>
      <c r="CQ63" s="17" t="str">
        <f t="shared" si="227"/>
        <v>-</v>
      </c>
      <c r="CR63" s="170"/>
      <c r="CS63" s="175"/>
      <c r="CT63" s="16" t="s">
        <v>17</v>
      </c>
      <c r="CU63" s="175"/>
      <c r="CV63" s="17" t="str">
        <f t="shared" si="228"/>
        <v>-</v>
      </c>
      <c r="CW63" s="170"/>
      <c r="CX63" s="175"/>
      <c r="CY63" s="16" t="s">
        <v>17</v>
      </c>
      <c r="CZ63" s="175"/>
      <c r="DA63" s="17" t="str">
        <f t="shared" si="229"/>
        <v>-</v>
      </c>
      <c r="DB63" s="170"/>
      <c r="DC63" s="175"/>
      <c r="DD63" s="16" t="s">
        <v>17</v>
      </c>
      <c r="DE63" s="175"/>
      <c r="DF63" s="17" t="str">
        <f t="shared" si="230"/>
        <v>-</v>
      </c>
      <c r="DG63" s="170"/>
      <c r="DH63" s="175"/>
      <c r="DI63" s="16" t="s">
        <v>17</v>
      </c>
      <c r="DJ63" s="175"/>
      <c r="DK63" s="17" t="str">
        <f t="shared" si="231"/>
        <v>-</v>
      </c>
      <c r="DL63" s="170"/>
      <c r="DM63" s="175"/>
      <c r="DN63" s="16" t="s">
        <v>17</v>
      </c>
      <c r="DO63" s="175"/>
      <c r="DP63" s="17" t="str">
        <f t="shared" si="232"/>
        <v>-</v>
      </c>
      <c r="DQ63" s="170"/>
      <c r="DR63" s="175"/>
      <c r="DS63" s="16" t="s">
        <v>17</v>
      </c>
      <c r="DT63" s="175"/>
      <c r="DU63" s="17" t="str">
        <f t="shared" si="233"/>
        <v>-</v>
      </c>
      <c r="DV63" s="170"/>
      <c r="DW63" s="175"/>
      <c r="DX63" s="16" t="s">
        <v>17</v>
      </c>
      <c r="DY63" s="175"/>
      <c r="DZ63" s="17" t="str">
        <f t="shared" si="234"/>
        <v>-</v>
      </c>
      <c r="EA63" s="166"/>
      <c r="EB63" s="175"/>
      <c r="EC63" s="16" t="s">
        <v>17</v>
      </c>
      <c r="ED63" s="175"/>
      <c r="EE63" s="17" t="str">
        <f t="shared" si="235"/>
        <v>-</v>
      </c>
      <c r="EF63" s="166"/>
      <c r="EG63" s="175"/>
      <c r="EH63" s="16" t="s">
        <v>17</v>
      </c>
      <c r="EI63" s="175"/>
      <c r="EJ63" s="17" t="str">
        <f t="shared" si="236"/>
        <v>-</v>
      </c>
      <c r="EK63" s="166"/>
      <c r="EL63" s="175"/>
      <c r="EM63" s="16" t="s">
        <v>17</v>
      </c>
      <c r="EN63" s="175"/>
      <c r="EO63" s="17" t="str">
        <f t="shared" si="237"/>
        <v>-</v>
      </c>
      <c r="EP63" s="166"/>
      <c r="EQ63" s="175"/>
      <c r="ER63" s="16" t="s">
        <v>17</v>
      </c>
      <c r="ES63" s="175"/>
      <c r="ET63" s="17" t="str">
        <f t="shared" si="238"/>
        <v>-</v>
      </c>
      <c r="EU63" s="166"/>
      <c r="EV63" s="13"/>
      <c r="EW63" s="14" t="s">
        <v>17</v>
      </c>
      <c r="EX63" s="13"/>
      <c r="EY63" s="19" t="str">
        <f t="shared" si="239"/>
        <v>-</v>
      </c>
      <c r="EZ63" s="166"/>
      <c r="FA63" s="8"/>
    </row>
    <row r="64" spans="1:157" ht="17.399999999999999">
      <c r="A64" s="234" t="s">
        <v>105</v>
      </c>
      <c r="B64" s="235"/>
      <c r="C64" s="236" t="s">
        <v>17</v>
      </c>
      <c r="D64" s="235"/>
      <c r="E64" s="234" t="s">
        <v>102</v>
      </c>
      <c r="F64" s="166"/>
      <c r="G64" s="235"/>
      <c r="H64" s="236" t="s">
        <v>17</v>
      </c>
      <c r="I64" s="235"/>
      <c r="J64" s="237" t="str">
        <f t="shared" si="210"/>
        <v>-</v>
      </c>
      <c r="K64" s="220"/>
      <c r="L64" s="235"/>
      <c r="M64" s="236" t="s">
        <v>17</v>
      </c>
      <c r="N64" s="235"/>
      <c r="O64" s="237" t="str">
        <f t="shared" si="211"/>
        <v>-</v>
      </c>
      <c r="P64" s="220"/>
      <c r="Q64" s="235"/>
      <c r="R64" s="236" t="s">
        <v>17</v>
      </c>
      <c r="S64" s="235"/>
      <c r="T64" s="237" t="str">
        <f t="shared" si="212"/>
        <v>-</v>
      </c>
      <c r="U64" s="220"/>
      <c r="V64" s="235"/>
      <c r="W64" s="236" t="s">
        <v>17</v>
      </c>
      <c r="X64" s="235"/>
      <c r="Y64" s="237" t="str">
        <f t="shared" si="213"/>
        <v>-</v>
      </c>
      <c r="Z64" s="220"/>
      <c r="AA64" s="235"/>
      <c r="AB64" s="236" t="s">
        <v>17</v>
      </c>
      <c r="AC64" s="235"/>
      <c r="AD64" s="237" t="str">
        <f t="shared" si="214"/>
        <v>-</v>
      </c>
      <c r="AE64" s="220"/>
      <c r="AF64" s="235"/>
      <c r="AG64" s="236" t="s">
        <v>17</v>
      </c>
      <c r="AH64" s="235"/>
      <c r="AI64" s="237" t="str">
        <f t="shared" si="215"/>
        <v>-</v>
      </c>
      <c r="AJ64" s="220"/>
      <c r="AK64" s="235"/>
      <c r="AL64" s="236" t="s">
        <v>17</v>
      </c>
      <c r="AM64" s="235"/>
      <c r="AN64" s="237" t="str">
        <f t="shared" si="216"/>
        <v>-</v>
      </c>
      <c r="AO64" s="220"/>
      <c r="AP64" s="235"/>
      <c r="AQ64" s="236" t="s">
        <v>17</v>
      </c>
      <c r="AR64" s="235"/>
      <c r="AS64" s="237" t="str">
        <f t="shared" si="217"/>
        <v>-</v>
      </c>
      <c r="AT64" s="220"/>
      <c r="AU64" s="235"/>
      <c r="AV64" s="236" t="s">
        <v>17</v>
      </c>
      <c r="AW64" s="235"/>
      <c r="AX64" s="237" t="str">
        <f t="shared" si="218"/>
        <v>-</v>
      </c>
      <c r="AY64" s="168"/>
      <c r="AZ64" s="235"/>
      <c r="BA64" s="236" t="s">
        <v>17</v>
      </c>
      <c r="BB64" s="235"/>
      <c r="BC64" s="237" t="str">
        <f t="shared" si="219"/>
        <v>-</v>
      </c>
      <c r="BD64" s="169"/>
      <c r="BE64" s="235"/>
      <c r="BF64" s="236" t="s">
        <v>17</v>
      </c>
      <c r="BG64" s="235"/>
      <c r="BH64" s="238" t="str">
        <f t="shared" si="220"/>
        <v>-</v>
      </c>
      <c r="BI64" s="169"/>
      <c r="BJ64" s="235"/>
      <c r="BK64" s="236" t="s">
        <v>17</v>
      </c>
      <c r="BL64" s="235"/>
      <c r="BM64" s="238" t="str">
        <f t="shared" si="221"/>
        <v>-</v>
      </c>
      <c r="BN64" s="169"/>
      <c r="BO64" s="235"/>
      <c r="BP64" s="236" t="s">
        <v>17</v>
      </c>
      <c r="BQ64" s="235"/>
      <c r="BR64" s="238" t="str">
        <f t="shared" si="222"/>
        <v>-</v>
      </c>
      <c r="BS64" s="169"/>
      <c r="BT64" s="235"/>
      <c r="BU64" s="236" t="s">
        <v>17</v>
      </c>
      <c r="BV64" s="235"/>
      <c r="BW64" s="238" t="str">
        <f t="shared" si="223"/>
        <v>-</v>
      </c>
      <c r="BX64" s="166"/>
      <c r="BY64" s="239"/>
      <c r="BZ64" s="240" t="s">
        <v>17</v>
      </c>
      <c r="CA64" s="239"/>
      <c r="CB64" s="237" t="str">
        <f t="shared" si="224"/>
        <v>-</v>
      </c>
      <c r="CC64" s="170"/>
      <c r="CD64" s="239"/>
      <c r="CE64" s="240" t="s">
        <v>17</v>
      </c>
      <c r="CF64" s="239"/>
      <c r="CG64" s="237" t="str">
        <f t="shared" si="225"/>
        <v>-</v>
      </c>
      <c r="CH64" s="170"/>
      <c r="CI64" s="239"/>
      <c r="CJ64" s="240" t="s">
        <v>17</v>
      </c>
      <c r="CK64" s="239"/>
      <c r="CL64" s="237" t="str">
        <f t="shared" si="226"/>
        <v>-</v>
      </c>
      <c r="CM64" s="170"/>
      <c r="CN64" s="239"/>
      <c r="CO64" s="240" t="s">
        <v>17</v>
      </c>
      <c r="CP64" s="239"/>
      <c r="CQ64" s="237" t="str">
        <f t="shared" si="227"/>
        <v>-</v>
      </c>
      <c r="CR64" s="170"/>
      <c r="CS64" s="239"/>
      <c r="CT64" s="240" t="s">
        <v>17</v>
      </c>
      <c r="CU64" s="239"/>
      <c r="CV64" s="237" t="str">
        <f t="shared" si="228"/>
        <v>-</v>
      </c>
      <c r="CW64" s="170"/>
      <c r="CX64" s="239"/>
      <c r="CY64" s="240" t="s">
        <v>17</v>
      </c>
      <c r="CZ64" s="239"/>
      <c r="DA64" s="237" t="str">
        <f t="shared" si="229"/>
        <v>-</v>
      </c>
      <c r="DB64" s="170"/>
      <c r="DC64" s="239"/>
      <c r="DD64" s="240" t="s">
        <v>17</v>
      </c>
      <c r="DE64" s="239"/>
      <c r="DF64" s="237" t="str">
        <f t="shared" si="230"/>
        <v>-</v>
      </c>
      <c r="DG64" s="170"/>
      <c r="DH64" s="239"/>
      <c r="DI64" s="240" t="s">
        <v>17</v>
      </c>
      <c r="DJ64" s="239"/>
      <c r="DK64" s="237" t="str">
        <f t="shared" si="231"/>
        <v>-</v>
      </c>
      <c r="DL64" s="170"/>
      <c r="DM64" s="239"/>
      <c r="DN64" s="240" t="s">
        <v>17</v>
      </c>
      <c r="DO64" s="239"/>
      <c r="DP64" s="237" t="str">
        <f t="shared" si="232"/>
        <v>-</v>
      </c>
      <c r="DQ64" s="170"/>
      <c r="DR64" s="239"/>
      <c r="DS64" s="240" t="s">
        <v>17</v>
      </c>
      <c r="DT64" s="239"/>
      <c r="DU64" s="237" t="str">
        <f t="shared" si="233"/>
        <v>-</v>
      </c>
      <c r="DV64" s="170"/>
      <c r="DW64" s="239"/>
      <c r="DX64" s="240" t="s">
        <v>17</v>
      </c>
      <c r="DY64" s="239"/>
      <c r="DZ64" s="237" t="str">
        <f t="shared" si="234"/>
        <v>-</v>
      </c>
      <c r="EA64" s="166"/>
      <c r="EB64" s="239"/>
      <c r="EC64" s="240" t="s">
        <v>17</v>
      </c>
      <c r="ED64" s="239"/>
      <c r="EE64" s="237" t="str">
        <f t="shared" si="235"/>
        <v>-</v>
      </c>
      <c r="EF64" s="166"/>
      <c r="EG64" s="239"/>
      <c r="EH64" s="240" t="s">
        <v>17</v>
      </c>
      <c r="EI64" s="239"/>
      <c r="EJ64" s="237" t="str">
        <f t="shared" si="236"/>
        <v>-</v>
      </c>
      <c r="EK64" s="166"/>
      <c r="EL64" s="239"/>
      <c r="EM64" s="240" t="s">
        <v>17</v>
      </c>
      <c r="EN64" s="239"/>
      <c r="EO64" s="237" t="str">
        <f t="shared" si="237"/>
        <v>-</v>
      </c>
      <c r="EP64" s="166"/>
      <c r="EQ64" s="239"/>
      <c r="ER64" s="240" t="s">
        <v>17</v>
      </c>
      <c r="ES64" s="239"/>
      <c r="ET64" s="237" t="str">
        <f t="shared" si="238"/>
        <v>-</v>
      </c>
      <c r="EU64" s="166"/>
      <c r="EV64" s="235"/>
      <c r="EW64" s="236" t="s">
        <v>17</v>
      </c>
      <c r="EX64" s="235"/>
      <c r="EY64" s="238" t="str">
        <f t="shared" si="239"/>
        <v>-</v>
      </c>
      <c r="EZ64" s="166"/>
      <c r="FA64" s="8"/>
    </row>
    <row r="65" spans="1:157" ht="17.399999999999999">
      <c r="A65" s="241"/>
      <c r="B65" s="241"/>
      <c r="C65" s="242"/>
      <c r="D65" s="241"/>
      <c r="E65" s="241"/>
      <c r="F65" s="166"/>
      <c r="G65" s="335">
        <f>SUM(J59:J64)</f>
        <v>0</v>
      </c>
      <c r="H65" s="301"/>
      <c r="I65" s="301"/>
      <c r="J65" s="179"/>
      <c r="K65" s="180"/>
      <c r="L65" s="335">
        <f>SUM(O59:O64)</f>
        <v>0</v>
      </c>
      <c r="M65" s="301"/>
      <c r="N65" s="301"/>
      <c r="O65" s="179"/>
      <c r="P65" s="180"/>
      <c r="Q65" s="335">
        <f>SUM(T59:T64)</f>
        <v>0</v>
      </c>
      <c r="R65" s="301"/>
      <c r="S65" s="301"/>
      <c r="T65" s="179"/>
      <c r="U65" s="180"/>
      <c r="V65" s="335">
        <f>SUM(Y59:Y64)</f>
        <v>0</v>
      </c>
      <c r="W65" s="301"/>
      <c r="X65" s="301"/>
      <c r="Y65" s="179"/>
      <c r="Z65" s="180"/>
      <c r="AA65" s="335">
        <f>SUM(AD59:AD64)</f>
        <v>0</v>
      </c>
      <c r="AB65" s="301"/>
      <c r="AC65" s="301"/>
      <c r="AD65" s="179"/>
      <c r="AE65" s="180"/>
      <c r="AF65" s="335">
        <f>SUM(AI59:AI64)</f>
        <v>0</v>
      </c>
      <c r="AG65" s="301"/>
      <c r="AH65" s="301"/>
      <c r="AI65" s="179"/>
      <c r="AJ65" s="180"/>
      <c r="AK65" s="335">
        <f>SUM(AN59:AN64)</f>
        <v>0</v>
      </c>
      <c r="AL65" s="301"/>
      <c r="AM65" s="301"/>
      <c r="AN65" s="179"/>
      <c r="AO65" s="180"/>
      <c r="AP65" s="335">
        <f>SUM(AS59:AS64)</f>
        <v>0</v>
      </c>
      <c r="AQ65" s="301"/>
      <c r="AR65" s="301"/>
      <c r="AS65" s="181"/>
      <c r="AT65" s="180"/>
      <c r="AU65" s="335">
        <f>SUM(AX59:AX64)</f>
        <v>0</v>
      </c>
      <c r="AV65" s="301"/>
      <c r="AW65" s="301"/>
      <c r="AX65" s="182"/>
      <c r="AY65" s="168"/>
      <c r="AZ65" s="335">
        <f>SUM(BC59:BC64)</f>
        <v>0</v>
      </c>
      <c r="BA65" s="301"/>
      <c r="BB65" s="301"/>
      <c r="BC65" s="182"/>
      <c r="BD65" s="169"/>
      <c r="BE65" s="335">
        <f>SUM(BH59:BH64)</f>
        <v>0</v>
      </c>
      <c r="BF65" s="301"/>
      <c r="BG65" s="301"/>
      <c r="BH65" s="182"/>
      <c r="BI65" s="169"/>
      <c r="BJ65" s="335">
        <f>SUM(BM59:BM64)</f>
        <v>0</v>
      </c>
      <c r="BK65" s="301"/>
      <c r="BL65" s="301"/>
      <c r="BM65" s="182"/>
      <c r="BN65" s="169"/>
      <c r="BO65" s="335">
        <f>SUM(BR59:BR64)</f>
        <v>0</v>
      </c>
      <c r="BP65" s="301"/>
      <c r="BQ65" s="301"/>
      <c r="BR65" s="182"/>
      <c r="BS65" s="169"/>
      <c r="BT65" s="335">
        <f>SUM(BW59:BW64)</f>
        <v>0</v>
      </c>
      <c r="BU65" s="301"/>
      <c r="BV65" s="301"/>
      <c r="BW65" s="182"/>
      <c r="BX65" s="243"/>
      <c r="BY65" s="335">
        <f>SUM(CB59:CB64)</f>
        <v>0</v>
      </c>
      <c r="BZ65" s="301"/>
      <c r="CA65" s="301"/>
      <c r="CB65" s="182"/>
      <c r="CC65" s="183"/>
      <c r="CD65" s="335">
        <f>SUM(CG59:CG64)</f>
        <v>0</v>
      </c>
      <c r="CE65" s="301"/>
      <c r="CF65" s="301"/>
      <c r="CG65" s="182"/>
      <c r="CH65" s="183"/>
      <c r="CI65" s="335">
        <f>SUM(CL59:CL64)</f>
        <v>0</v>
      </c>
      <c r="CJ65" s="301"/>
      <c r="CK65" s="301"/>
      <c r="CL65" s="182"/>
      <c r="CM65" s="183"/>
      <c r="CN65" s="335">
        <f>SUM(CQ59:CQ64)</f>
        <v>0</v>
      </c>
      <c r="CO65" s="301"/>
      <c r="CP65" s="301"/>
      <c r="CQ65" s="182"/>
      <c r="CR65" s="183"/>
      <c r="CS65" s="335">
        <f>SUM(CV59:CV64)</f>
        <v>0</v>
      </c>
      <c r="CT65" s="301"/>
      <c r="CU65" s="301"/>
      <c r="CV65" s="182"/>
      <c r="CW65" s="183"/>
      <c r="CX65" s="335">
        <f>SUM(DA59:DA64)</f>
        <v>0</v>
      </c>
      <c r="CY65" s="301"/>
      <c r="CZ65" s="301"/>
      <c r="DA65" s="182"/>
      <c r="DB65" s="183"/>
      <c r="DC65" s="335">
        <f>SUM(DF59:DF64)</f>
        <v>0</v>
      </c>
      <c r="DD65" s="301"/>
      <c r="DE65" s="301"/>
      <c r="DF65" s="182"/>
      <c r="DG65" s="183"/>
      <c r="DH65" s="335">
        <f>SUM(DK59:DK64)</f>
        <v>0</v>
      </c>
      <c r="DI65" s="301"/>
      <c r="DJ65" s="301"/>
      <c r="DK65" s="182"/>
      <c r="DL65" s="183"/>
      <c r="DM65" s="335">
        <f>SUM(DP59:DP64)</f>
        <v>0</v>
      </c>
      <c r="DN65" s="301"/>
      <c r="DO65" s="301"/>
      <c r="DP65" s="182"/>
      <c r="DQ65" s="183"/>
      <c r="DR65" s="335">
        <f>SUM(DU59:DU64)</f>
        <v>0</v>
      </c>
      <c r="DS65" s="301"/>
      <c r="DT65" s="301"/>
      <c r="DU65" s="182"/>
      <c r="DV65" s="183"/>
      <c r="DW65" s="335">
        <f>SUM(DZ59:DZ64)</f>
        <v>0</v>
      </c>
      <c r="DX65" s="301"/>
      <c r="DY65" s="301"/>
      <c r="DZ65" s="182"/>
      <c r="EA65" s="243"/>
      <c r="EB65" s="335">
        <f>SUM(EE59:EE64)</f>
        <v>0</v>
      </c>
      <c r="EC65" s="301"/>
      <c r="ED65" s="301"/>
      <c r="EE65" s="182"/>
      <c r="EF65" s="243"/>
      <c r="EG65" s="335">
        <f>SUM(EJ59:EJ64)</f>
        <v>0</v>
      </c>
      <c r="EH65" s="301"/>
      <c r="EI65" s="301"/>
      <c r="EJ65" s="182"/>
      <c r="EK65" s="243"/>
      <c r="EL65" s="335">
        <f>SUM(EO59:EO64)</f>
        <v>0</v>
      </c>
      <c r="EM65" s="301"/>
      <c r="EN65" s="301"/>
      <c r="EO65" s="182"/>
      <c r="EP65" s="243"/>
      <c r="EQ65" s="335">
        <f>SUM(ET59:ET64)</f>
        <v>0</v>
      </c>
      <c r="ER65" s="301"/>
      <c r="ES65" s="301"/>
      <c r="ET65" s="182"/>
      <c r="EU65" s="243"/>
      <c r="EV65" s="335">
        <f>SUM(EY59:EY64)</f>
        <v>0</v>
      </c>
      <c r="EW65" s="301"/>
      <c r="EX65" s="301"/>
      <c r="EY65" s="182"/>
      <c r="EZ65" s="243"/>
      <c r="FA65" s="81"/>
    </row>
    <row r="66" spans="1:157" ht="17.399999999999999">
      <c r="A66" s="336" t="s">
        <v>106</v>
      </c>
      <c r="B66" s="301"/>
      <c r="C66" s="301"/>
      <c r="D66" s="301"/>
      <c r="E66" s="301"/>
      <c r="F66" s="166"/>
      <c r="G66" s="245"/>
      <c r="H66" s="245"/>
      <c r="I66" s="245"/>
      <c r="J66" s="246"/>
      <c r="K66" s="216"/>
      <c r="L66" s="245"/>
      <c r="M66" s="245"/>
      <c r="N66" s="245"/>
      <c r="O66" s="246"/>
      <c r="P66" s="216"/>
      <c r="Q66" s="245"/>
      <c r="R66" s="245"/>
      <c r="S66" s="245"/>
      <c r="T66" s="246"/>
      <c r="U66" s="216"/>
      <c r="V66" s="245"/>
      <c r="W66" s="245"/>
      <c r="X66" s="245"/>
      <c r="Y66" s="246"/>
      <c r="Z66" s="216"/>
      <c r="AA66" s="245"/>
      <c r="AB66" s="245"/>
      <c r="AC66" s="245"/>
      <c r="AD66" s="246"/>
      <c r="AE66" s="216"/>
      <c r="AF66" s="245"/>
      <c r="AG66" s="245"/>
      <c r="AH66" s="245"/>
      <c r="AI66" s="246"/>
      <c r="AJ66" s="216"/>
      <c r="AK66" s="245"/>
      <c r="AL66" s="245"/>
      <c r="AM66" s="245"/>
      <c r="AN66" s="246"/>
      <c r="AO66" s="216"/>
      <c r="AP66" s="245"/>
      <c r="AQ66" s="245"/>
      <c r="AR66" s="245"/>
      <c r="AS66" s="246"/>
      <c r="AT66" s="181"/>
      <c r="AU66" s="247"/>
      <c r="AV66" s="247"/>
      <c r="AW66" s="247"/>
      <c r="AX66" s="246"/>
      <c r="AY66" s="168"/>
      <c r="AZ66" s="245"/>
      <c r="BA66" s="245"/>
      <c r="BB66" s="245"/>
      <c r="BC66" s="246"/>
      <c r="BD66" s="169"/>
      <c r="BE66" s="245"/>
      <c r="BF66" s="245"/>
      <c r="BG66" s="245"/>
      <c r="BH66" s="245"/>
      <c r="BI66" s="169"/>
      <c r="BJ66" s="245"/>
      <c r="BK66" s="245"/>
      <c r="BL66" s="245"/>
      <c r="BM66" s="245"/>
      <c r="BN66" s="169"/>
      <c r="BO66" s="245"/>
      <c r="BP66" s="245"/>
      <c r="BQ66" s="245"/>
      <c r="BR66" s="245"/>
      <c r="BS66" s="169"/>
      <c r="BT66" s="245"/>
      <c r="BU66" s="245"/>
      <c r="BV66" s="245"/>
      <c r="BW66" s="245"/>
      <c r="BX66" s="166"/>
      <c r="BY66" s="248"/>
      <c r="BZ66" s="248"/>
      <c r="CA66" s="248"/>
      <c r="CB66" s="249"/>
      <c r="CC66" s="183"/>
      <c r="CD66" s="248"/>
      <c r="CE66" s="248"/>
      <c r="CF66" s="248"/>
      <c r="CG66" s="249"/>
      <c r="CH66" s="183"/>
      <c r="CI66" s="248"/>
      <c r="CJ66" s="248"/>
      <c r="CK66" s="248"/>
      <c r="CL66" s="249"/>
      <c r="CM66" s="183"/>
      <c r="CN66" s="248"/>
      <c r="CO66" s="248"/>
      <c r="CP66" s="248"/>
      <c r="CQ66" s="249"/>
      <c r="CR66" s="183"/>
      <c r="CS66" s="248"/>
      <c r="CT66" s="248"/>
      <c r="CU66" s="248"/>
      <c r="CV66" s="249"/>
      <c r="CW66" s="183"/>
      <c r="CX66" s="248"/>
      <c r="CY66" s="248"/>
      <c r="CZ66" s="248"/>
      <c r="DA66" s="248"/>
      <c r="DB66" s="183"/>
      <c r="DC66" s="248"/>
      <c r="DD66" s="248"/>
      <c r="DE66" s="248"/>
      <c r="DF66" s="249"/>
      <c r="DG66" s="183"/>
      <c r="DH66" s="248"/>
      <c r="DI66" s="248"/>
      <c r="DJ66" s="248"/>
      <c r="DK66" s="248"/>
      <c r="DL66" s="183"/>
      <c r="DM66" s="248"/>
      <c r="DN66" s="248"/>
      <c r="DO66" s="248"/>
      <c r="DP66" s="244"/>
      <c r="DQ66" s="183"/>
      <c r="DR66" s="248"/>
      <c r="DS66" s="248"/>
      <c r="DT66" s="248"/>
      <c r="DU66" s="244"/>
      <c r="DV66" s="183"/>
      <c r="DW66" s="248"/>
      <c r="DX66" s="248"/>
      <c r="DY66" s="248"/>
      <c r="DZ66" s="244"/>
      <c r="EA66" s="166"/>
      <c r="EB66" s="248"/>
      <c r="EC66" s="248"/>
      <c r="ED66" s="248"/>
      <c r="EE66" s="245"/>
      <c r="EF66" s="166"/>
      <c r="EG66" s="248"/>
      <c r="EH66" s="248"/>
      <c r="EI66" s="248"/>
      <c r="EJ66" s="244"/>
      <c r="EK66" s="166"/>
      <c r="EL66" s="248"/>
      <c r="EM66" s="248"/>
      <c r="EN66" s="248"/>
      <c r="EO66" s="244"/>
      <c r="EP66" s="166"/>
      <c r="EQ66" s="248"/>
      <c r="ER66" s="248"/>
      <c r="ES66" s="248"/>
      <c r="ET66" s="244"/>
      <c r="EU66" s="166"/>
      <c r="EV66" s="245"/>
      <c r="EW66" s="245"/>
      <c r="EX66" s="245"/>
      <c r="EY66" s="245"/>
      <c r="EZ66" s="166"/>
      <c r="FA66" s="8"/>
    </row>
    <row r="67" spans="1:157" ht="17.399999999999999">
      <c r="A67" s="12" t="s">
        <v>107</v>
      </c>
      <c r="B67" s="13"/>
      <c r="C67" s="14" t="s">
        <v>17</v>
      </c>
      <c r="D67" s="13"/>
      <c r="E67" s="12" t="s">
        <v>108</v>
      </c>
      <c r="F67" s="166"/>
      <c r="G67" s="13"/>
      <c r="H67" s="14" t="s">
        <v>17</v>
      </c>
      <c r="I67" s="13"/>
      <c r="J67" s="17" t="str">
        <f t="shared" ref="J67:J72" si="240">IF(OR(B67="", D67=""), "-",
  IF(OR(G67="", I67=""), 0,
    IF(AND(G67=B67, I67=D67), 10,
      IF(AND(OR(AND(B67&gt;D67, G67&gt;I67), AND(B67&lt;D67, G67&lt;I67), AND(B67=D67, G67=I67)), OR(G67=B67, I67=D67)), 7,
        IF(OR(AND(B67&gt;D67, G67&gt;I67), AND(B67&lt;D67, G67&lt;I67), AND(B67=D67, G67=I67)), 5,
          IF(OR(G67=B67, I67=D67), 2, 0)
        )
      )
    )
  )
)</f>
        <v>-</v>
      </c>
      <c r="K67" s="220"/>
      <c r="L67" s="13"/>
      <c r="M67" s="14" t="s">
        <v>17</v>
      </c>
      <c r="N67" s="13"/>
      <c r="O67" s="17" t="str">
        <f t="shared" ref="O67:O72" si="241">IF(OR(B67="", D67=""), "-",
  IF(OR(L67="", N67=""), 0,
    IF(AND(L67=B67, N67=D67), 10,
      IF(AND(OR(AND(B67&gt;D67, L67&gt;N67), AND(B67&lt;D67, L67&lt;N67), AND(B67=D67, L67=N67)), OR(L67=B67, N67=D67)), 7,
        IF(OR(AND(B67&gt;D67, L67&gt;N67), AND(B67&lt;D67, L67&lt;N67), AND(B67=D67, L67=N67)), 5,
          IF(OR(L67=B67, N67=D67), 2, 0)
        )
      )
    )
  )
)</f>
        <v>-</v>
      </c>
      <c r="P67" s="220"/>
      <c r="Q67" s="13"/>
      <c r="R67" s="14" t="s">
        <v>17</v>
      </c>
      <c r="S67" s="13"/>
      <c r="T67" s="17" t="str">
        <f t="shared" ref="T67:T72" si="242">IF(OR(B67="", D67=""), "-",
  IF(OR(Q67="", S67=""), 0,
    IF(AND(Q67=B67, S67=D67), 10,
      IF(AND(OR(AND(B67&gt;D67, Q67&gt;S67), AND(B67&lt;D67, Q67&lt;S67), AND(B67=D67, Q67=S67)), OR(Q67=B67, S67=D67)), 7,
        IF(OR(AND(B67&gt;D67, Q67&gt;S67), AND(B67&lt;D67, Q67&lt;S67), AND(B67=D67, Q67=S67)), 5,
          IF(OR(Q67=B67, S67=D67), 2, 0)
        )
      )
    )
  )
)</f>
        <v>-</v>
      </c>
      <c r="U67" s="220"/>
      <c r="V67" s="13"/>
      <c r="W67" s="14" t="s">
        <v>17</v>
      </c>
      <c r="X67" s="13"/>
      <c r="Y67" s="17" t="str">
        <f t="shared" ref="Y67:Y72" si="243">IF(OR(B67="", D67=""), "-",
  IF(OR(V67="", X67=""), 0,
    IF(AND(V67=B67, X67=D67), 10,
      IF(AND(OR(AND(B67&gt;D67, V67&gt;X67), AND(B67&lt;D67, V67&lt;X67), AND(B67=D67, V67=X67)), OR(V67=B67, X67=D67)), 7,
        IF(OR(AND(B67&gt;D67, V67&gt;X67), AND(B67&lt;D67, V67&lt;X67), AND(B67=D67, V67=X67)), 5,
          IF(OR(V67=B67, X67=D67), 2, 0)
        )
      )
    )
  )
)</f>
        <v>-</v>
      </c>
      <c r="Z67" s="220"/>
      <c r="AA67" s="13"/>
      <c r="AB67" s="14" t="s">
        <v>17</v>
      </c>
      <c r="AC67" s="13"/>
      <c r="AD67" s="17" t="str">
        <f t="shared" ref="AD67:AD72" si="244">IF(OR(B67="", D67=""), "-",
  IF(OR(AA67="", AC67=""), 0,
    IF(AND(AA67=B67, AC67=D67), 10,
      IF(AND(OR(AND(B67&gt;D67, AA67&gt;AC67), AND(B67&lt;D67, AA67&lt;AC67), AND(B67=D67, AA67=AC67)), OR(AA67=B67, AC67=D67)), 7,
        IF(OR(AND(B67&gt;D67, AA67&gt;AC67), AND(B67&lt;D67, AA67&lt;AC67), AND(B67=D67, AA67=AC67)), 5,
          IF(OR(AA67=B67, AC67=D67), 2, 0)
        )
      )
    )
  )
)</f>
        <v>-</v>
      </c>
      <c r="AE67" s="220"/>
      <c r="AF67" s="13"/>
      <c r="AG67" s="14" t="s">
        <v>17</v>
      </c>
      <c r="AH67" s="13"/>
      <c r="AI67" s="17" t="str">
        <f t="shared" ref="AI67:AI72" si="245">IF(OR(B67="", D67=""), "-",
  IF(OR(AF67="", AH67=""), 0,
    IF(AND(AF67=B67, AH67=D67), 10,
      IF(AND(OR(AND(B67&gt;D67, AF67&gt;AH67), AND(B67&lt;D67, AF67&lt;AH67), AND(B67=D67, AF67=AH67)), OR(AF67=B67, AH67=D67)), 7,
        IF(OR(AND(B67&gt;D67, AF67&gt;AH67), AND(B67&lt;D67, AF67&lt;AH67), AND(B67=D67, AF67=AH67)), 5,
          IF(OR(AF67=B67, AH67=D67), 2, 0)
        )
      )
    )
  )
)</f>
        <v>-</v>
      </c>
      <c r="AJ67" s="220"/>
      <c r="AK67" s="13"/>
      <c r="AL67" s="14" t="s">
        <v>17</v>
      </c>
      <c r="AM67" s="13"/>
      <c r="AN67" s="17" t="str">
        <f t="shared" ref="AN67:AN72" si="246">IF(OR(B67="", D67=""), "-",
  IF(OR(AK67="", AM67=""), 0,
    IF(AND(AK67=B67, AM67=D67), 10,
      IF(AND(OR(AND(B67&gt;D67, AK67&gt;AM67), AND(B67&lt;D67, AK67&lt;AM67), AND(B67=D67, AK67=AM67)), OR(AK67=B67, AM67=D67)), 7,
        IF(OR(AND(B67&gt;D67, AK67&gt;AM67), AND(B67&lt;D67, AK67&lt;AM67), AND(B67=D67, AK67=AM67)), 5,
          IF(OR(AK67=B67, AM67=D67), 2, 0)
        )
      )
    )
  )
)</f>
        <v>-</v>
      </c>
      <c r="AO67" s="220"/>
      <c r="AP67" s="13"/>
      <c r="AQ67" s="14" t="s">
        <v>17</v>
      </c>
      <c r="AR67" s="13"/>
      <c r="AS67" s="17" t="str">
        <f t="shared" ref="AS67:AS72" si="247">IF(OR(B67="", D67=""), "-",
  IF(OR(AP67="", AR67=""), 0,
    IF(AND(AP67=B67, AR67=D67), 10,
      IF(AND(OR(AND(B67&gt;D67, AP67&gt;AR67), AND(B67&lt;D67, AP67&lt;AR67), AND(B67=D67, AP67=AR67)), OR(AP67=B67, AR67=D67)), 7,
        IF(OR(AND(B67&gt;D67, AP67&gt;AR67), AND(B67&lt;D67, AP67&lt;AR67), AND(B67=D67, AP67=AR67)), 5,
          IF(OR(AP67=B67, AR67=D67), 2, 0)
        )
      )
    )
  )
)</f>
        <v>-</v>
      </c>
      <c r="AT67" s="220"/>
      <c r="AU67" s="13"/>
      <c r="AV67" s="14" t="s">
        <v>17</v>
      </c>
      <c r="AW67" s="13"/>
      <c r="AX67" s="17" t="str">
        <f t="shared" ref="AX67:AX72" si="248">IF(OR(B67="", D67=""), "-",
  IF(OR(AU67="", AW67=""), 0,
    IF(AND(AU67=B67, AW67=D67), 10,
      IF(AND(OR(AND(B67&gt;D67, AU67&gt;AW67), AND(B67&lt;D67, AU67&lt;AW67), AND(B67=D67, AU67=AW67)), OR(AU67=B67, AW67=D67)), 7,
        IF(OR(AND(B67&gt;D67, AU67&gt;AW67), AND(B67&lt;D67, AU67&lt;AW67), AND(B67=D67, AU67=AW67)), 5,
          IF(OR(AU67=B67, AW67=D67), 2, 0)
        )
      )
    )
  )
)</f>
        <v>-</v>
      </c>
      <c r="AY67" s="168"/>
      <c r="AZ67" s="13"/>
      <c r="BA67" s="14" t="s">
        <v>17</v>
      </c>
      <c r="BB67" s="13"/>
      <c r="BC67" s="17" t="str">
        <f t="shared" ref="BC67:BC72" si="249">IF(OR(B67="", D67=""), "-",
  IF(OR(AZ67="", BB67=""), 0,
    IF(AND(AZ67=B67, BB67=D67), 10,
      IF(AND(OR(AND(B67&gt;D67, AZ67&gt;BB67), AND(B67&lt;D67, AZ67&lt;BB67), AND(B67=D67, AZ67=BB67)), OR(AZ67=B67, BB67=D67)), 7,
        IF(OR(AND(B67&gt;D67, AZ67&gt;BB67), AND(B67&lt;D67, AZ67&lt;BB67), AND(B67=D67, AZ67=BB67)), 5,
          IF(OR(AZ67=B67, BB67=D67), 2, 0)
        )
      )
    )
  )
)</f>
        <v>-</v>
      </c>
      <c r="BD67" s="169"/>
      <c r="BE67" s="13"/>
      <c r="BF67" s="14" t="s">
        <v>17</v>
      </c>
      <c r="BG67" s="13"/>
      <c r="BH67" s="19" t="str">
        <f t="shared" ref="BH67:BH72" si="250">IF(OR(B67="", D67=""), "-",
  IF(OR(BE67="", BG67=""), 0,
    IF(AND(BE67=B67, BG67=D67), 10,
      IF(AND(OR(AND(B67&gt;D67, BE67&gt;BG67), AND(B67&lt;D67, BE67&lt;BG67), AND(B67=D67, BE67=BG67)), OR(BE67=B67, BG67=D67)), 7,
        IF(OR(AND(B67&gt;D67, BE67&gt;BG67), AND(B67&lt;D67, BE67&lt;BG67), AND(B67=D67, BE67=BG67)), 5,
          IF(OR(BE67=B67, BG67=D67), 2, 0)
        )
      )
    )
  )
)</f>
        <v>-</v>
      </c>
      <c r="BI67" s="169"/>
      <c r="BJ67" s="13"/>
      <c r="BK67" s="14" t="s">
        <v>17</v>
      </c>
      <c r="BL67" s="13"/>
      <c r="BM67" s="19" t="str">
        <f t="shared" ref="BM67:BM72" si="251">IF(OR(B67="", D67=""), "-",
  IF(OR(BJ67="", BL67=""), 0,
    IF(AND(BJ67=B67, BL67=D67), 10,
      IF(AND(OR(AND(B67&gt;D67, BJ67&gt;BL67), AND(B67&lt;D67, BJ67&lt;BL67), AND(B67=D67, BJ67=BL67)), OR(BJ67=B67, BL67=D67)), 7,
        IF(OR(AND(B67&gt;D67, BJ67&gt;BL67), AND(B67&lt;D67, BJ67&lt;BL67), AND(B67=D67, BJ67=BL67)), 5,
          IF(OR(BJ67=B67, BL67=D67), 2, 0)
        )
      )
    )
  )
)</f>
        <v>-</v>
      </c>
      <c r="BN67" s="169"/>
      <c r="BO67" s="13"/>
      <c r="BP67" s="14" t="s">
        <v>17</v>
      </c>
      <c r="BQ67" s="13"/>
      <c r="BR67" s="19" t="str">
        <f t="shared" ref="BR67:BR72" si="252">IF(OR(B67="", D67=""), "-",
  IF(OR(BO67="", BQ67=""), 0,
    IF(AND(BO67=B67, BQ67=D67), 10,
      IF(AND(OR(AND(B67&gt;D67, BO67&gt;BQ67), AND(B67&lt;D67, BO67&lt;BQ67), AND(B67=D67, BO67=BQ67)), OR(BO67=B67, BQ67=D67)), 7,
        IF(OR(AND(B67&gt;D67, BO67&gt;BQ67), AND(B67&lt;D67, BO67&lt;BQ67), AND(B67=D67, BO67=BQ67)), 5,
          IF(OR(BO67=B67, BQ67=D67), 2, 0)
        )
      )
    )
  )
)</f>
        <v>-</v>
      </c>
      <c r="BS67" s="169"/>
      <c r="BT67" s="13"/>
      <c r="BU67" s="14" t="s">
        <v>17</v>
      </c>
      <c r="BV67" s="13"/>
      <c r="BW67" s="19" t="str">
        <f t="shared" ref="BW67:BW72" si="253">IF(OR(B67="", D67=""), "-",
  IF(OR(BT67="", BV67=""), 0,
    IF(AND(BT67=B67, BV67=D67), 10,
      IF(AND(OR(AND(B67&gt;D67, BT67&gt;BV67), AND(B67&lt;D67, BT67&lt;BV67), AND(B67=D67, BT67=BV67)), OR(BT67=B67, BV67=D67)), 7,
        IF(OR(AND(B67&gt;D67, BT67&gt;BV67), AND(B67&lt;D67, BT67&lt;BV67), AND(B67=D67, BT67=BV67)), 5,
          IF(OR(BT67=B67, BV67=D67), 2, 0)
        )
      )
    )
  )
)</f>
        <v>-</v>
      </c>
      <c r="BX67" s="166"/>
      <c r="BY67" s="175"/>
      <c r="BZ67" s="16" t="s">
        <v>17</v>
      </c>
      <c r="CA67" s="175"/>
      <c r="CB67" s="17" t="str">
        <f t="shared" ref="CB67:CB72" si="254">IF(OR(B67="", D67=""), "-",
  IF(OR(BY67="", CA67=""), 0,
    IF(AND(BY67=B67, CA67=D67), 10,
      IF(AND(OR(AND(B67&gt;D67, BY67&gt;CA67), AND(B67&lt;D67, BY67&lt;CA67), AND(B67=D67, BY67=CA67)), OR(BY67=B67, CA67=D67)), 7,
        IF(OR(AND(B67&gt;D67, BY67&gt;CA67), AND(B67&lt;D67, BY67&lt;CA67), AND(B67=D67, BY67=CA67)), 5,
          IF(OR(BY67=B67, CA67=D67), 2, 0)
        )
      )
    )
  )
)</f>
        <v>-</v>
      </c>
      <c r="CC67" s="170"/>
      <c r="CD67" s="175"/>
      <c r="CE67" s="16" t="s">
        <v>17</v>
      </c>
      <c r="CF67" s="175"/>
      <c r="CG67" s="17" t="str">
        <f t="shared" ref="CG67:CG72" si="255">IF(OR(B67="", D67=""), "-",
  IF(OR(CD67="", CF67=""), 0,
    IF(AND(CD67=B67, CF67=D67), 10,
      IF(AND(OR(AND(B67&gt;D67, CD67&gt;CF67), AND(B67&lt;D67, CD67&lt;CF67), AND(B67=D67, CD67=CF67)), OR(CD67=B67, CF67=D67)), 7,
        IF(OR(AND(B67&gt;D67, CD67&gt;CF67), AND(B67&lt;D67, CD67&lt;CF67), AND(B67=D67, CD67=CF67)), 5,
          IF(OR(CD67=B67, CF67=D67), 2, 0)
        )
      )
    )
  )
)</f>
        <v>-</v>
      </c>
      <c r="CH67" s="170"/>
      <c r="CI67" s="175"/>
      <c r="CJ67" s="16" t="s">
        <v>17</v>
      </c>
      <c r="CK67" s="175"/>
      <c r="CL67" s="17" t="str">
        <f t="shared" ref="CL67:CL72" si="256">IF(OR(B67="", D67=""), "-",
  IF(OR(CI67="", CK67=""), 0,
    IF(AND(CI67=B67, CK67=D67), 10,
      IF(AND(OR(AND(B67&gt;D67, CI67&gt;CK67), AND(B67&lt;D67, CI67&lt;CK67), AND(B67=D67, CI67=CK67)), OR(CI67=B67, CK67=D67)), 7,
        IF(OR(AND(B67&gt;D67, CI67&gt;CK67), AND(B67&lt;D67, CI67&lt;CK67), AND(B67=D67, CI67=CK67)), 5,
          IF(OR(CI67=B67, CK67=D67), 2, 0)
        )
      )
    )
  )
)</f>
        <v>-</v>
      </c>
      <c r="CM67" s="170"/>
      <c r="CN67" s="175"/>
      <c r="CO67" s="16" t="s">
        <v>17</v>
      </c>
      <c r="CP67" s="175"/>
      <c r="CQ67" s="17" t="str">
        <f t="shared" ref="CQ67:CQ72" si="257">IF(OR(B67="", D67=""), "-",
  IF(OR(CN67="", CP67=""), 0,
    IF(AND(CN67=B67, CP67=D67), 10,
      IF(AND(OR(AND(B67&gt;D67, CN67&gt;CP67), AND(B67&lt;D67, CN67&lt;CP67), AND(B67=D67, CN67=CP67)), OR(CN67=B67, CP67=D67)), 7,
        IF(OR(AND(B67&gt;D67, CN67&gt;CP67), AND(B67&lt;D67, CN67&lt;CP67), AND(B67=D67, CN67=CP67)), 5,
          IF(OR(CN67=B67, CP67=D67), 2, 0)
        )
      )
    )
  )
)</f>
        <v>-</v>
      </c>
      <c r="CR67" s="170"/>
      <c r="CS67" s="175"/>
      <c r="CT67" s="16" t="s">
        <v>17</v>
      </c>
      <c r="CU67" s="175"/>
      <c r="CV67" s="17" t="str">
        <f t="shared" ref="CV67:CV72" si="258">IF(OR(B67="", D67=""), "-",
  IF(OR(CS67="", CU67=""), 0,
    IF(AND(CS67=B67, CU67=D67), 10,
      IF(AND(OR(AND(B67&gt;D67, CS67&gt;CU67), AND(B67&lt;D67, CS67&lt;CU67), AND(B67=D67, CS67=CU67)), OR(CS67=B67, CU67=D67)), 7,
        IF(OR(AND(B67&gt;D67, CS67&gt;CU67), AND(B67&lt;D67, CS67&lt;CU67), AND(B67=D67, CS67=CU67)), 5,
          IF(OR(CS67=B67, CU67=D67), 2, 0)
        )
      )
    )
  )
)</f>
        <v>-</v>
      </c>
      <c r="CW67" s="170"/>
      <c r="CX67" s="175"/>
      <c r="CY67" s="16" t="s">
        <v>17</v>
      </c>
      <c r="CZ67" s="175"/>
      <c r="DA67" s="17" t="str">
        <f t="shared" ref="DA67:DA72" si="259">IF(OR(B67="", D67=""), "-",
  IF(OR(CX67="", CZ67=""), 0,
    IF(AND(CX67=B67, CZ67=D67), 10,
      IF(AND(OR(AND(B67&gt;D67, CX67&gt;CZ67), AND(B67&lt;D67, CX67&lt;CZ67), AND(B67=D67, CX67=CZ67)), OR(CX67=B67, CZ67=D67)), 7,
        IF(OR(AND(B67&gt;D67, CX67&gt;CZ67), AND(B67&lt;D67, CX67&lt;CZ67), AND(B67=D67, CX67=CZ67)), 5,
          IF(OR(CX67=B67, CZ67=D67), 2, 0)
        )
      )
    )
  )
)</f>
        <v>-</v>
      </c>
      <c r="DB67" s="170"/>
      <c r="DC67" s="175"/>
      <c r="DD67" s="16" t="s">
        <v>17</v>
      </c>
      <c r="DE67" s="175"/>
      <c r="DF67" s="17" t="str">
        <f t="shared" ref="DF67:DF72" si="260">IF(OR(B67="", D67=""), "-",
  IF(OR(DC67="", DE67=""), 0,
    IF(AND(DC67=B67, DE67=D67), 10,
      IF(AND(OR(AND(B67&gt;D67, DC67&gt;DE67), AND(B67&lt;D67, DC67&lt;DE67), AND(B67=D67, DC67=DE67)), OR(DC67=B67, DE67=D67)), 7,
        IF(OR(AND(B67&gt;D67, DC67&gt;DE67), AND(B67&lt;D67, DC67&lt;DE67), AND(B67=D67, DC67=DE67)), 5,
          IF(OR(DC67=B67, DE67=D67), 2, 0)
        )
      )
    )
  )
)</f>
        <v>-</v>
      </c>
      <c r="DG67" s="170"/>
      <c r="DH67" s="175"/>
      <c r="DI67" s="16" t="s">
        <v>17</v>
      </c>
      <c r="DJ67" s="175"/>
      <c r="DK67" s="17" t="str">
        <f t="shared" ref="DK67:DK72" si="261">IF(OR(B67="", D67=""), "-",
  IF(OR(DH67="", DJ67=""), 0,
    IF(AND(DH67=B67, DJ67=D67), 10,
      IF(AND(OR(AND(B67&gt;D67, DH67&gt;DJ67), AND(B67&lt;D67, DH67&lt;DJ67), AND(B67=D67, DH67=DJ67)), OR(DH67=B67, DJ67=D67)), 7,
        IF(OR(AND(B67&gt;D67, DH67&gt;DJ67), AND(B67&lt;D67, DH67&lt;DJ67), AND(B67=D67, DH67=DJ67)), 5,
          IF(OR(DH67=B67, DJ67=D67), 2, 0)
        )
      )
    )
  )
)</f>
        <v>-</v>
      </c>
      <c r="DL67" s="170"/>
      <c r="DM67" s="175"/>
      <c r="DN67" s="16" t="s">
        <v>17</v>
      </c>
      <c r="DO67" s="175"/>
      <c r="DP67" s="17" t="str">
        <f t="shared" ref="DP67:DP72" si="262">IF(OR(B67="", D67=""), "-",
  IF(OR(DM67="", DO67=""), 0,
    IF(AND(DM67=B67, DO67=D67), 10,
      IF(AND(OR(AND(B67&gt;D67, DM67&gt;DO67), AND(B67&lt;D67, DM67&lt;DO67), AND(B67=D67, DM67=DO67)), OR(DM67=B67, DO67=D67)), 7,
        IF(OR(AND(B67&gt;D67, DM67&gt;DO67), AND(B67&lt;D67, DM67&lt;DO67), AND(B67=D67, DM67=DO67)), 5,
          IF(OR(DM67=B67, DO67=D67), 2, 0)
        )
      )
    )
  )
)</f>
        <v>-</v>
      </c>
      <c r="DQ67" s="170"/>
      <c r="DR67" s="175"/>
      <c r="DS67" s="16" t="s">
        <v>17</v>
      </c>
      <c r="DT67" s="175"/>
      <c r="DU67" s="17" t="str">
        <f t="shared" ref="DU67:DU72" si="263">IF(OR(B67="", D67=""), "-",
  IF(OR(DR67="", DT67=""), 0,
    IF(AND(DR67=B67, DT67=D67), 10,
      IF(AND(OR(AND(B67&gt;D67, DR67&gt;DT67), AND(B67&lt;D67, DR67&lt;DT67), AND(B67=D67, DR67=DT67)), OR(DR67=B67, DT67=D67)), 7,
        IF(OR(AND(B67&gt;D67, DR67&gt;DT67), AND(B67&lt;D67, DR67&lt;DT67), AND(B67=D67, DR67=DT67)), 5,
          IF(OR(DR67=B67, DT67=D67), 2, 0)
        )
      )
    )
  )
)</f>
        <v>-</v>
      </c>
      <c r="DV67" s="170"/>
      <c r="DW67" s="175"/>
      <c r="DX67" s="16" t="s">
        <v>17</v>
      </c>
      <c r="DY67" s="175"/>
      <c r="DZ67" s="17" t="str">
        <f t="shared" ref="DZ67:DZ72" si="264">IF(OR(B67="", D67=""), "-",
  IF(OR(DW67="", DY67=""), 0,
    IF(AND(DW67=B67, DY67=D67), 10,
      IF(AND(OR(AND(B67&gt;D67, DW67&gt;DY67), AND(B67&lt;D67, DW67&lt;DY67), AND(B67=D67, DW67=DY67)), OR(DW67=B67, DY67=D67)), 7,
        IF(OR(AND(B67&gt;D67, DW67&gt;DY67), AND(B67&lt;D67, DW67&lt;DY67), AND(B67=D67, DW67=DY67)), 5,
          IF(OR(DW67=B67, DY67=D67), 2, 0)
        )
      )
    )
  )
)</f>
        <v>-</v>
      </c>
      <c r="EA67" s="166"/>
      <c r="EB67" s="175"/>
      <c r="EC67" s="16" t="s">
        <v>17</v>
      </c>
      <c r="ED67" s="175"/>
      <c r="EE67" s="17" t="str">
        <f t="shared" ref="EE67:EE72" si="265">IF(OR(B67="", D67=""), "-",
  IF(OR(EB67="", ED67=""), 0,
    IF(AND(EB67=B67, ED67=D67), 10,
      IF(AND(OR(AND(B67&gt;D67, EB67&gt;ED67), AND(B67&lt;D67, EB67&lt;ED67), AND(B67=D67, EB67=ED67)), OR(EB67=B67, ED67=D67)), 7,
        IF(OR(AND(B67&gt;D67, EB67&gt;ED67), AND(B67&lt;D67, EB67&lt;ED67), AND(B67=D67, EB67=ED67)), 5,
          IF(OR(EB67=B67, ED67=D67), 2, 0)
        )
      )
    )
  )
)</f>
        <v>-</v>
      </c>
      <c r="EF67" s="166"/>
      <c r="EG67" s="175"/>
      <c r="EH67" s="16" t="s">
        <v>17</v>
      </c>
      <c r="EI67" s="175"/>
      <c r="EJ67" s="17" t="str">
        <f t="shared" ref="EJ67:EJ72" si="266">IF(OR(B67="", D67=""), "-",
  IF(OR(EG67="", EI67=""), 0,
    IF(AND(EG67=B67, EI67=D67), 10,
      IF(AND(OR(AND(B67&gt;D67, EG67&gt;EI67), AND(B67&lt;D67, EG67&lt;EI67), AND(B67=D67, EG67=EI67)), OR(EG67=B67, EI67=D67)), 7,
        IF(OR(AND(B67&gt;D67, EG67&gt;EI67), AND(B67&lt;D67, EG67&lt;EI67), AND(B67=D67, EG67=EI67)), 5,
          IF(OR(EG67=B67, EI67=D67), 2, 0)
        )
      )
    )
  )
)</f>
        <v>-</v>
      </c>
      <c r="EK67" s="166"/>
      <c r="EL67" s="175"/>
      <c r="EM67" s="16" t="s">
        <v>17</v>
      </c>
      <c r="EN67" s="175"/>
      <c r="EO67" s="17" t="str">
        <f t="shared" ref="EO67:EO72" si="267">IF(OR(B67="", D67=""), "-",
  IF(OR(EL67="", EN67=""), 0,
    IF(AND(EL67=B67, EN67=D67), 10,
      IF(AND(OR(AND(B67&gt;D67, EL67&gt;EN67), AND(B67&lt;D67, EL67&lt;EN67), AND(B67=D67, EL67=EN67)), OR(EL67=B67, EN67=D67)), 7,
        IF(OR(AND(B67&gt;D67, EL67&gt;EN67), AND(B67&lt;D67, EL67&lt;EN67), AND(B67=D67, EL67=EN67)), 5,
          IF(OR(EL67=B67, EN67=D67), 2, 0)
        )
      )
    )
  )
)</f>
        <v>-</v>
      </c>
      <c r="EP67" s="166"/>
      <c r="EQ67" s="175"/>
      <c r="ER67" s="16" t="s">
        <v>17</v>
      </c>
      <c r="ES67" s="175"/>
      <c r="ET67" s="17" t="str">
        <f t="shared" ref="ET67:ET72" si="268">IF(OR(B67="", D67=""), "-",
  IF(OR(EQ67="", ES67=""), 0,
    IF(AND(EQ67=B67, ES67=D67), 10,
      IF(AND(OR(AND(B67&gt;D67, EQ67&gt;ES67), AND(B67&lt;D67, EQ67&lt;ES67), AND(B67=D67, EQ67=ES67)), OR(EQ67=B67, ES67=D67)), 7,
        IF(OR(AND(B67&gt;D67, EQ67&gt;ES67), AND(B67&lt;D67, EQ67&lt;ES67), AND(B67=D67, EQ67=ES67)), 5,
          IF(OR(EQ67=B67, ES67=D67), 2, 0)
        )
      )
    )
  )
)</f>
        <v>-</v>
      </c>
      <c r="EU67" s="166"/>
      <c r="EV67" s="13"/>
      <c r="EW67" s="14" t="s">
        <v>17</v>
      </c>
      <c r="EX67" s="13"/>
      <c r="EY67" s="19" t="str">
        <f t="shared" ref="EY67:EY72" si="269">IF(OR(B67="", D67=""), "-",
  IF(OR(EV67="", EX67=""), 0,
    IF(AND(EV67=B67, EX67=D67), 10,
      IF(AND(OR(AND(B67&gt;D67, EV67&gt;EX67), AND(B67&lt;D67, EV67&lt;EX67), AND(B67=D67, EV67=EX67)), OR(EV67=B67, EX67=D67)), 7,
        IF(OR(AND(B67&gt;D67, EV67&gt;EX67), AND(B67&lt;D67, EV67&lt;EX67), AND(B67=D67, EV67=EX67)), 5,
          IF(OR(EV67=B67, EX67=D67), 2, 0)
        )
      )
    )
  )
)</f>
        <v>-</v>
      </c>
      <c r="EZ67" s="166"/>
      <c r="FA67" s="8"/>
    </row>
    <row r="68" spans="1:157" ht="17.399999999999999">
      <c r="A68" s="250" t="s">
        <v>109</v>
      </c>
      <c r="B68" s="251"/>
      <c r="C68" s="252" t="s">
        <v>17</v>
      </c>
      <c r="D68" s="251"/>
      <c r="E68" s="250" t="s">
        <v>110</v>
      </c>
      <c r="F68" s="166"/>
      <c r="G68" s="251"/>
      <c r="H68" s="252" t="s">
        <v>17</v>
      </c>
      <c r="I68" s="251"/>
      <c r="J68" s="253" t="str">
        <f t="shared" si="240"/>
        <v>-</v>
      </c>
      <c r="K68" s="220"/>
      <c r="L68" s="251"/>
      <c r="M68" s="252" t="s">
        <v>17</v>
      </c>
      <c r="N68" s="251"/>
      <c r="O68" s="253" t="str">
        <f t="shared" si="241"/>
        <v>-</v>
      </c>
      <c r="P68" s="220"/>
      <c r="Q68" s="251"/>
      <c r="R68" s="252" t="s">
        <v>17</v>
      </c>
      <c r="S68" s="251"/>
      <c r="T68" s="253" t="str">
        <f t="shared" si="242"/>
        <v>-</v>
      </c>
      <c r="U68" s="220"/>
      <c r="V68" s="251"/>
      <c r="W68" s="252" t="s">
        <v>17</v>
      </c>
      <c r="X68" s="251"/>
      <c r="Y68" s="253" t="str">
        <f t="shared" si="243"/>
        <v>-</v>
      </c>
      <c r="Z68" s="220"/>
      <c r="AA68" s="251"/>
      <c r="AB68" s="252" t="s">
        <v>17</v>
      </c>
      <c r="AC68" s="251"/>
      <c r="AD68" s="253" t="str">
        <f t="shared" si="244"/>
        <v>-</v>
      </c>
      <c r="AE68" s="220"/>
      <c r="AF68" s="251"/>
      <c r="AG68" s="252" t="s">
        <v>17</v>
      </c>
      <c r="AH68" s="251"/>
      <c r="AI68" s="253" t="str">
        <f t="shared" si="245"/>
        <v>-</v>
      </c>
      <c r="AJ68" s="220"/>
      <c r="AK68" s="251"/>
      <c r="AL68" s="252" t="s">
        <v>17</v>
      </c>
      <c r="AM68" s="251"/>
      <c r="AN68" s="253" t="str">
        <f t="shared" si="246"/>
        <v>-</v>
      </c>
      <c r="AO68" s="220"/>
      <c r="AP68" s="251"/>
      <c r="AQ68" s="252" t="s">
        <v>17</v>
      </c>
      <c r="AR68" s="251"/>
      <c r="AS68" s="253" t="str">
        <f t="shared" si="247"/>
        <v>-</v>
      </c>
      <c r="AT68" s="220"/>
      <c r="AU68" s="251"/>
      <c r="AV68" s="252" t="s">
        <v>17</v>
      </c>
      <c r="AW68" s="251"/>
      <c r="AX68" s="253" t="str">
        <f t="shared" si="248"/>
        <v>-</v>
      </c>
      <c r="AY68" s="168"/>
      <c r="AZ68" s="251"/>
      <c r="BA68" s="252" t="s">
        <v>17</v>
      </c>
      <c r="BB68" s="251"/>
      <c r="BC68" s="253" t="str">
        <f t="shared" si="249"/>
        <v>-</v>
      </c>
      <c r="BD68" s="169"/>
      <c r="BE68" s="251"/>
      <c r="BF68" s="252" t="s">
        <v>17</v>
      </c>
      <c r="BG68" s="251"/>
      <c r="BH68" s="254" t="str">
        <f t="shared" si="250"/>
        <v>-</v>
      </c>
      <c r="BI68" s="169"/>
      <c r="BJ68" s="251"/>
      <c r="BK68" s="252" t="s">
        <v>17</v>
      </c>
      <c r="BL68" s="251"/>
      <c r="BM68" s="254" t="str">
        <f t="shared" si="251"/>
        <v>-</v>
      </c>
      <c r="BN68" s="169"/>
      <c r="BO68" s="251"/>
      <c r="BP68" s="252" t="s">
        <v>17</v>
      </c>
      <c r="BQ68" s="251"/>
      <c r="BR68" s="254" t="str">
        <f t="shared" si="252"/>
        <v>-</v>
      </c>
      <c r="BS68" s="169"/>
      <c r="BT68" s="251"/>
      <c r="BU68" s="252" t="s">
        <v>17</v>
      </c>
      <c r="BV68" s="251"/>
      <c r="BW68" s="254" t="str">
        <f t="shared" si="253"/>
        <v>-</v>
      </c>
      <c r="BX68" s="166"/>
      <c r="BY68" s="255"/>
      <c r="BZ68" s="256" t="s">
        <v>17</v>
      </c>
      <c r="CA68" s="255"/>
      <c r="CB68" s="253" t="str">
        <f t="shared" si="254"/>
        <v>-</v>
      </c>
      <c r="CC68" s="170"/>
      <c r="CD68" s="255"/>
      <c r="CE68" s="256" t="s">
        <v>17</v>
      </c>
      <c r="CF68" s="255"/>
      <c r="CG68" s="253" t="str">
        <f t="shared" si="255"/>
        <v>-</v>
      </c>
      <c r="CH68" s="170"/>
      <c r="CI68" s="255"/>
      <c r="CJ68" s="256" t="s">
        <v>17</v>
      </c>
      <c r="CK68" s="255"/>
      <c r="CL68" s="253" t="str">
        <f t="shared" si="256"/>
        <v>-</v>
      </c>
      <c r="CM68" s="170"/>
      <c r="CN68" s="255"/>
      <c r="CO68" s="256" t="s">
        <v>17</v>
      </c>
      <c r="CP68" s="255"/>
      <c r="CQ68" s="253" t="str">
        <f t="shared" si="257"/>
        <v>-</v>
      </c>
      <c r="CR68" s="170"/>
      <c r="CS68" s="255"/>
      <c r="CT68" s="256" t="s">
        <v>17</v>
      </c>
      <c r="CU68" s="255"/>
      <c r="CV68" s="253" t="str">
        <f t="shared" si="258"/>
        <v>-</v>
      </c>
      <c r="CW68" s="170"/>
      <c r="CX68" s="255"/>
      <c r="CY68" s="256" t="s">
        <v>17</v>
      </c>
      <c r="CZ68" s="255"/>
      <c r="DA68" s="253" t="str">
        <f t="shared" si="259"/>
        <v>-</v>
      </c>
      <c r="DB68" s="170"/>
      <c r="DC68" s="255"/>
      <c r="DD68" s="256" t="s">
        <v>17</v>
      </c>
      <c r="DE68" s="255"/>
      <c r="DF68" s="253" t="str">
        <f t="shared" si="260"/>
        <v>-</v>
      </c>
      <c r="DG68" s="170"/>
      <c r="DH68" s="255"/>
      <c r="DI68" s="256" t="s">
        <v>17</v>
      </c>
      <c r="DJ68" s="255"/>
      <c r="DK68" s="253" t="str">
        <f t="shared" si="261"/>
        <v>-</v>
      </c>
      <c r="DL68" s="170"/>
      <c r="DM68" s="255"/>
      <c r="DN68" s="256" t="s">
        <v>17</v>
      </c>
      <c r="DO68" s="255"/>
      <c r="DP68" s="253" t="str">
        <f t="shared" si="262"/>
        <v>-</v>
      </c>
      <c r="DQ68" s="170"/>
      <c r="DR68" s="255"/>
      <c r="DS68" s="256" t="s">
        <v>17</v>
      </c>
      <c r="DT68" s="255"/>
      <c r="DU68" s="253" t="str">
        <f t="shared" si="263"/>
        <v>-</v>
      </c>
      <c r="DV68" s="170"/>
      <c r="DW68" s="255"/>
      <c r="DX68" s="256" t="s">
        <v>17</v>
      </c>
      <c r="DY68" s="255"/>
      <c r="DZ68" s="253" t="str">
        <f t="shared" si="264"/>
        <v>-</v>
      </c>
      <c r="EA68" s="166"/>
      <c r="EB68" s="255"/>
      <c r="EC68" s="256" t="s">
        <v>17</v>
      </c>
      <c r="ED68" s="255"/>
      <c r="EE68" s="253" t="str">
        <f t="shared" si="265"/>
        <v>-</v>
      </c>
      <c r="EF68" s="166"/>
      <c r="EG68" s="255"/>
      <c r="EH68" s="256" t="s">
        <v>17</v>
      </c>
      <c r="EI68" s="255"/>
      <c r="EJ68" s="253" t="str">
        <f t="shared" si="266"/>
        <v>-</v>
      </c>
      <c r="EK68" s="166"/>
      <c r="EL68" s="255"/>
      <c r="EM68" s="256" t="s">
        <v>17</v>
      </c>
      <c r="EN68" s="255"/>
      <c r="EO68" s="253" t="str">
        <f t="shared" si="267"/>
        <v>-</v>
      </c>
      <c r="EP68" s="166"/>
      <c r="EQ68" s="255"/>
      <c r="ER68" s="256" t="s">
        <v>17</v>
      </c>
      <c r="ES68" s="255"/>
      <c r="ET68" s="253" t="str">
        <f t="shared" si="268"/>
        <v>-</v>
      </c>
      <c r="EU68" s="166"/>
      <c r="EV68" s="251"/>
      <c r="EW68" s="252" t="s">
        <v>17</v>
      </c>
      <c r="EX68" s="251"/>
      <c r="EY68" s="254" t="str">
        <f t="shared" si="269"/>
        <v>-</v>
      </c>
      <c r="EZ68" s="166"/>
      <c r="FA68" s="8"/>
    </row>
    <row r="69" spans="1:157" ht="17.399999999999999">
      <c r="A69" s="12" t="s">
        <v>107</v>
      </c>
      <c r="B69" s="13"/>
      <c r="C69" s="14" t="s">
        <v>17</v>
      </c>
      <c r="D69" s="13"/>
      <c r="E69" s="12" t="s">
        <v>109</v>
      </c>
      <c r="F69" s="166"/>
      <c r="G69" s="13"/>
      <c r="H69" s="14" t="s">
        <v>17</v>
      </c>
      <c r="I69" s="13"/>
      <c r="J69" s="17" t="str">
        <f t="shared" si="240"/>
        <v>-</v>
      </c>
      <c r="K69" s="220"/>
      <c r="L69" s="13"/>
      <c r="M69" s="14" t="s">
        <v>17</v>
      </c>
      <c r="N69" s="13"/>
      <c r="O69" s="17" t="str">
        <f t="shared" si="241"/>
        <v>-</v>
      </c>
      <c r="P69" s="220"/>
      <c r="Q69" s="13"/>
      <c r="R69" s="14" t="s">
        <v>17</v>
      </c>
      <c r="S69" s="13"/>
      <c r="T69" s="17" t="str">
        <f t="shared" si="242"/>
        <v>-</v>
      </c>
      <c r="U69" s="220"/>
      <c r="V69" s="13"/>
      <c r="W69" s="14" t="s">
        <v>17</v>
      </c>
      <c r="X69" s="13"/>
      <c r="Y69" s="17" t="str">
        <f t="shared" si="243"/>
        <v>-</v>
      </c>
      <c r="Z69" s="220"/>
      <c r="AA69" s="13"/>
      <c r="AB69" s="14" t="s">
        <v>17</v>
      </c>
      <c r="AC69" s="13"/>
      <c r="AD69" s="17" t="str">
        <f t="shared" si="244"/>
        <v>-</v>
      </c>
      <c r="AE69" s="220"/>
      <c r="AF69" s="13"/>
      <c r="AG69" s="14" t="s">
        <v>17</v>
      </c>
      <c r="AH69" s="13"/>
      <c r="AI69" s="17" t="str">
        <f t="shared" si="245"/>
        <v>-</v>
      </c>
      <c r="AJ69" s="220"/>
      <c r="AK69" s="13"/>
      <c r="AL69" s="14" t="s">
        <v>17</v>
      </c>
      <c r="AM69" s="13"/>
      <c r="AN69" s="17" t="str">
        <f t="shared" si="246"/>
        <v>-</v>
      </c>
      <c r="AO69" s="220"/>
      <c r="AP69" s="13"/>
      <c r="AQ69" s="14" t="s">
        <v>17</v>
      </c>
      <c r="AR69" s="13"/>
      <c r="AS69" s="17" t="str">
        <f t="shared" si="247"/>
        <v>-</v>
      </c>
      <c r="AT69" s="220"/>
      <c r="AU69" s="13"/>
      <c r="AV69" s="14" t="s">
        <v>17</v>
      </c>
      <c r="AW69" s="13"/>
      <c r="AX69" s="17" t="str">
        <f t="shared" si="248"/>
        <v>-</v>
      </c>
      <c r="AY69" s="168"/>
      <c r="AZ69" s="13"/>
      <c r="BA69" s="14" t="s">
        <v>17</v>
      </c>
      <c r="BB69" s="13"/>
      <c r="BC69" s="17" t="str">
        <f t="shared" si="249"/>
        <v>-</v>
      </c>
      <c r="BD69" s="169"/>
      <c r="BE69" s="13"/>
      <c r="BF69" s="14" t="s">
        <v>17</v>
      </c>
      <c r="BG69" s="13"/>
      <c r="BH69" s="19" t="str">
        <f t="shared" si="250"/>
        <v>-</v>
      </c>
      <c r="BI69" s="169"/>
      <c r="BJ69" s="13"/>
      <c r="BK69" s="14" t="s">
        <v>17</v>
      </c>
      <c r="BL69" s="13"/>
      <c r="BM69" s="19" t="str">
        <f t="shared" si="251"/>
        <v>-</v>
      </c>
      <c r="BN69" s="169"/>
      <c r="BO69" s="13"/>
      <c r="BP69" s="14" t="s">
        <v>17</v>
      </c>
      <c r="BQ69" s="13"/>
      <c r="BR69" s="19" t="str">
        <f t="shared" si="252"/>
        <v>-</v>
      </c>
      <c r="BS69" s="169"/>
      <c r="BT69" s="13"/>
      <c r="BU69" s="14" t="s">
        <v>17</v>
      </c>
      <c r="BV69" s="13"/>
      <c r="BW69" s="19" t="str">
        <f t="shared" si="253"/>
        <v>-</v>
      </c>
      <c r="BX69" s="166"/>
      <c r="BY69" s="175"/>
      <c r="BZ69" s="16" t="s">
        <v>17</v>
      </c>
      <c r="CA69" s="175"/>
      <c r="CB69" s="17" t="str">
        <f t="shared" si="254"/>
        <v>-</v>
      </c>
      <c r="CC69" s="170"/>
      <c r="CD69" s="175"/>
      <c r="CE69" s="16" t="s">
        <v>17</v>
      </c>
      <c r="CF69" s="175"/>
      <c r="CG69" s="17" t="str">
        <f t="shared" si="255"/>
        <v>-</v>
      </c>
      <c r="CH69" s="170"/>
      <c r="CI69" s="175"/>
      <c r="CJ69" s="16" t="s">
        <v>17</v>
      </c>
      <c r="CK69" s="175"/>
      <c r="CL69" s="17" t="str">
        <f t="shared" si="256"/>
        <v>-</v>
      </c>
      <c r="CM69" s="170"/>
      <c r="CN69" s="175"/>
      <c r="CO69" s="16" t="s">
        <v>17</v>
      </c>
      <c r="CP69" s="175"/>
      <c r="CQ69" s="17" t="str">
        <f t="shared" si="257"/>
        <v>-</v>
      </c>
      <c r="CR69" s="170"/>
      <c r="CS69" s="175"/>
      <c r="CT69" s="16" t="s">
        <v>17</v>
      </c>
      <c r="CU69" s="175"/>
      <c r="CV69" s="17" t="str">
        <f t="shared" si="258"/>
        <v>-</v>
      </c>
      <c r="CW69" s="170"/>
      <c r="CX69" s="175"/>
      <c r="CY69" s="16" t="s">
        <v>17</v>
      </c>
      <c r="CZ69" s="175"/>
      <c r="DA69" s="17" t="str">
        <f t="shared" si="259"/>
        <v>-</v>
      </c>
      <c r="DB69" s="170"/>
      <c r="DC69" s="175"/>
      <c r="DD69" s="16" t="s">
        <v>17</v>
      </c>
      <c r="DE69" s="175"/>
      <c r="DF69" s="17" t="str">
        <f t="shared" si="260"/>
        <v>-</v>
      </c>
      <c r="DG69" s="170"/>
      <c r="DH69" s="175"/>
      <c r="DI69" s="16" t="s">
        <v>17</v>
      </c>
      <c r="DJ69" s="175"/>
      <c r="DK69" s="17" t="str">
        <f t="shared" si="261"/>
        <v>-</v>
      </c>
      <c r="DL69" s="170"/>
      <c r="DM69" s="175"/>
      <c r="DN69" s="16" t="s">
        <v>17</v>
      </c>
      <c r="DO69" s="175"/>
      <c r="DP69" s="17" t="str">
        <f t="shared" si="262"/>
        <v>-</v>
      </c>
      <c r="DQ69" s="170"/>
      <c r="DR69" s="175"/>
      <c r="DS69" s="16" t="s">
        <v>17</v>
      </c>
      <c r="DT69" s="175"/>
      <c r="DU69" s="17" t="str">
        <f t="shared" si="263"/>
        <v>-</v>
      </c>
      <c r="DV69" s="170"/>
      <c r="DW69" s="175"/>
      <c r="DX69" s="16" t="s">
        <v>17</v>
      </c>
      <c r="DY69" s="175"/>
      <c r="DZ69" s="17" t="str">
        <f t="shared" si="264"/>
        <v>-</v>
      </c>
      <c r="EA69" s="166"/>
      <c r="EB69" s="175"/>
      <c r="EC69" s="16" t="s">
        <v>17</v>
      </c>
      <c r="ED69" s="175"/>
      <c r="EE69" s="17" t="str">
        <f t="shared" si="265"/>
        <v>-</v>
      </c>
      <c r="EF69" s="166"/>
      <c r="EG69" s="175"/>
      <c r="EH69" s="16" t="s">
        <v>17</v>
      </c>
      <c r="EI69" s="175"/>
      <c r="EJ69" s="17" t="str">
        <f t="shared" si="266"/>
        <v>-</v>
      </c>
      <c r="EK69" s="166"/>
      <c r="EL69" s="175"/>
      <c r="EM69" s="16" t="s">
        <v>17</v>
      </c>
      <c r="EN69" s="175"/>
      <c r="EO69" s="17" t="str">
        <f t="shared" si="267"/>
        <v>-</v>
      </c>
      <c r="EP69" s="166"/>
      <c r="EQ69" s="175"/>
      <c r="ER69" s="16" t="s">
        <v>17</v>
      </c>
      <c r="ES69" s="175"/>
      <c r="ET69" s="17" t="str">
        <f t="shared" si="268"/>
        <v>-</v>
      </c>
      <c r="EU69" s="166"/>
      <c r="EV69" s="13"/>
      <c r="EW69" s="14" t="s">
        <v>17</v>
      </c>
      <c r="EX69" s="13"/>
      <c r="EY69" s="19" t="str">
        <f t="shared" si="269"/>
        <v>-</v>
      </c>
      <c r="EZ69" s="166"/>
      <c r="FA69" s="8"/>
    </row>
    <row r="70" spans="1:157" ht="17.399999999999999">
      <c r="A70" s="250" t="s">
        <v>110</v>
      </c>
      <c r="B70" s="251"/>
      <c r="C70" s="252" t="s">
        <v>17</v>
      </c>
      <c r="D70" s="251"/>
      <c r="E70" s="250" t="s">
        <v>108</v>
      </c>
      <c r="F70" s="166"/>
      <c r="G70" s="251"/>
      <c r="H70" s="252" t="s">
        <v>17</v>
      </c>
      <c r="I70" s="251"/>
      <c r="J70" s="253" t="str">
        <f t="shared" si="240"/>
        <v>-</v>
      </c>
      <c r="K70" s="220"/>
      <c r="L70" s="251"/>
      <c r="M70" s="252" t="s">
        <v>17</v>
      </c>
      <c r="N70" s="251"/>
      <c r="O70" s="253" t="str">
        <f t="shared" si="241"/>
        <v>-</v>
      </c>
      <c r="P70" s="220"/>
      <c r="Q70" s="251"/>
      <c r="R70" s="252" t="s">
        <v>17</v>
      </c>
      <c r="S70" s="251"/>
      <c r="T70" s="253" t="str">
        <f t="shared" si="242"/>
        <v>-</v>
      </c>
      <c r="U70" s="220"/>
      <c r="V70" s="251"/>
      <c r="W70" s="252" t="s">
        <v>17</v>
      </c>
      <c r="X70" s="251"/>
      <c r="Y70" s="253" t="str">
        <f t="shared" si="243"/>
        <v>-</v>
      </c>
      <c r="Z70" s="220"/>
      <c r="AA70" s="251"/>
      <c r="AB70" s="252" t="s">
        <v>17</v>
      </c>
      <c r="AC70" s="251"/>
      <c r="AD70" s="253" t="str">
        <f t="shared" si="244"/>
        <v>-</v>
      </c>
      <c r="AE70" s="220"/>
      <c r="AF70" s="251"/>
      <c r="AG70" s="252" t="s">
        <v>17</v>
      </c>
      <c r="AH70" s="251"/>
      <c r="AI70" s="253" t="str">
        <f t="shared" si="245"/>
        <v>-</v>
      </c>
      <c r="AJ70" s="220"/>
      <c r="AK70" s="251"/>
      <c r="AL70" s="252" t="s">
        <v>17</v>
      </c>
      <c r="AM70" s="251"/>
      <c r="AN70" s="253" t="str">
        <f t="shared" si="246"/>
        <v>-</v>
      </c>
      <c r="AO70" s="220"/>
      <c r="AP70" s="251"/>
      <c r="AQ70" s="252" t="s">
        <v>17</v>
      </c>
      <c r="AR70" s="251"/>
      <c r="AS70" s="253" t="str">
        <f t="shared" si="247"/>
        <v>-</v>
      </c>
      <c r="AT70" s="220"/>
      <c r="AU70" s="251"/>
      <c r="AV70" s="252" t="s">
        <v>17</v>
      </c>
      <c r="AW70" s="251"/>
      <c r="AX70" s="253" t="str">
        <f t="shared" si="248"/>
        <v>-</v>
      </c>
      <c r="AY70" s="168"/>
      <c r="AZ70" s="251"/>
      <c r="BA70" s="252" t="s">
        <v>17</v>
      </c>
      <c r="BB70" s="251"/>
      <c r="BC70" s="253" t="str">
        <f t="shared" si="249"/>
        <v>-</v>
      </c>
      <c r="BD70" s="169"/>
      <c r="BE70" s="251"/>
      <c r="BF70" s="252" t="s">
        <v>17</v>
      </c>
      <c r="BG70" s="251"/>
      <c r="BH70" s="254" t="str">
        <f t="shared" si="250"/>
        <v>-</v>
      </c>
      <c r="BI70" s="169"/>
      <c r="BJ70" s="251"/>
      <c r="BK70" s="252" t="s">
        <v>17</v>
      </c>
      <c r="BL70" s="251"/>
      <c r="BM70" s="254" t="str">
        <f t="shared" si="251"/>
        <v>-</v>
      </c>
      <c r="BN70" s="169"/>
      <c r="BO70" s="251"/>
      <c r="BP70" s="252" t="s">
        <v>17</v>
      </c>
      <c r="BQ70" s="251"/>
      <c r="BR70" s="254" t="str">
        <f t="shared" si="252"/>
        <v>-</v>
      </c>
      <c r="BS70" s="169"/>
      <c r="BT70" s="251"/>
      <c r="BU70" s="252" t="s">
        <v>17</v>
      </c>
      <c r="BV70" s="251"/>
      <c r="BW70" s="254" t="str">
        <f t="shared" si="253"/>
        <v>-</v>
      </c>
      <c r="BX70" s="166"/>
      <c r="BY70" s="255"/>
      <c r="BZ70" s="256" t="s">
        <v>17</v>
      </c>
      <c r="CA70" s="255"/>
      <c r="CB70" s="253" t="str">
        <f t="shared" si="254"/>
        <v>-</v>
      </c>
      <c r="CC70" s="170"/>
      <c r="CD70" s="255"/>
      <c r="CE70" s="256" t="s">
        <v>17</v>
      </c>
      <c r="CF70" s="255"/>
      <c r="CG70" s="253" t="str">
        <f t="shared" si="255"/>
        <v>-</v>
      </c>
      <c r="CH70" s="170"/>
      <c r="CI70" s="255"/>
      <c r="CJ70" s="256" t="s">
        <v>17</v>
      </c>
      <c r="CK70" s="255"/>
      <c r="CL70" s="253" t="str">
        <f t="shared" si="256"/>
        <v>-</v>
      </c>
      <c r="CM70" s="170"/>
      <c r="CN70" s="255"/>
      <c r="CO70" s="256" t="s">
        <v>17</v>
      </c>
      <c r="CP70" s="255"/>
      <c r="CQ70" s="253" t="str">
        <f t="shared" si="257"/>
        <v>-</v>
      </c>
      <c r="CR70" s="170"/>
      <c r="CS70" s="255"/>
      <c r="CT70" s="256" t="s">
        <v>17</v>
      </c>
      <c r="CU70" s="255"/>
      <c r="CV70" s="253" t="str">
        <f t="shared" si="258"/>
        <v>-</v>
      </c>
      <c r="CW70" s="170"/>
      <c r="CX70" s="255"/>
      <c r="CY70" s="256" t="s">
        <v>17</v>
      </c>
      <c r="CZ70" s="255"/>
      <c r="DA70" s="253" t="str">
        <f t="shared" si="259"/>
        <v>-</v>
      </c>
      <c r="DB70" s="170"/>
      <c r="DC70" s="255"/>
      <c r="DD70" s="256" t="s">
        <v>17</v>
      </c>
      <c r="DE70" s="255"/>
      <c r="DF70" s="253" t="str">
        <f t="shared" si="260"/>
        <v>-</v>
      </c>
      <c r="DG70" s="170"/>
      <c r="DH70" s="255"/>
      <c r="DI70" s="256" t="s">
        <v>17</v>
      </c>
      <c r="DJ70" s="255"/>
      <c r="DK70" s="253" t="str">
        <f t="shared" si="261"/>
        <v>-</v>
      </c>
      <c r="DL70" s="170"/>
      <c r="DM70" s="255"/>
      <c r="DN70" s="256" t="s">
        <v>17</v>
      </c>
      <c r="DO70" s="255"/>
      <c r="DP70" s="253" t="str">
        <f t="shared" si="262"/>
        <v>-</v>
      </c>
      <c r="DQ70" s="170"/>
      <c r="DR70" s="255"/>
      <c r="DS70" s="256" t="s">
        <v>17</v>
      </c>
      <c r="DT70" s="255"/>
      <c r="DU70" s="253" t="str">
        <f t="shared" si="263"/>
        <v>-</v>
      </c>
      <c r="DV70" s="170"/>
      <c r="DW70" s="255"/>
      <c r="DX70" s="256" t="s">
        <v>17</v>
      </c>
      <c r="DY70" s="255"/>
      <c r="DZ70" s="253" t="str">
        <f t="shared" si="264"/>
        <v>-</v>
      </c>
      <c r="EA70" s="166"/>
      <c r="EB70" s="255"/>
      <c r="EC70" s="256" t="s">
        <v>17</v>
      </c>
      <c r="ED70" s="255"/>
      <c r="EE70" s="253" t="str">
        <f t="shared" si="265"/>
        <v>-</v>
      </c>
      <c r="EF70" s="166"/>
      <c r="EG70" s="255"/>
      <c r="EH70" s="256" t="s">
        <v>17</v>
      </c>
      <c r="EI70" s="255"/>
      <c r="EJ70" s="253" t="str">
        <f t="shared" si="266"/>
        <v>-</v>
      </c>
      <c r="EK70" s="166"/>
      <c r="EL70" s="255"/>
      <c r="EM70" s="256" t="s">
        <v>17</v>
      </c>
      <c r="EN70" s="255"/>
      <c r="EO70" s="253" t="str">
        <f t="shared" si="267"/>
        <v>-</v>
      </c>
      <c r="EP70" s="166"/>
      <c r="EQ70" s="255"/>
      <c r="ER70" s="256" t="s">
        <v>17</v>
      </c>
      <c r="ES70" s="255"/>
      <c r="ET70" s="253" t="str">
        <f t="shared" si="268"/>
        <v>-</v>
      </c>
      <c r="EU70" s="166"/>
      <c r="EV70" s="251"/>
      <c r="EW70" s="252" t="s">
        <v>17</v>
      </c>
      <c r="EX70" s="251"/>
      <c r="EY70" s="254" t="str">
        <f t="shared" si="269"/>
        <v>-</v>
      </c>
      <c r="EZ70" s="166"/>
      <c r="FA70" s="8"/>
    </row>
    <row r="71" spans="1:157" ht="17.399999999999999">
      <c r="A71" s="12" t="s">
        <v>108</v>
      </c>
      <c r="B71" s="13"/>
      <c r="C71" s="14" t="s">
        <v>17</v>
      </c>
      <c r="D71" s="13"/>
      <c r="E71" s="12" t="s">
        <v>109</v>
      </c>
      <c r="F71" s="166"/>
      <c r="G71" s="13"/>
      <c r="H71" s="14" t="s">
        <v>17</v>
      </c>
      <c r="I71" s="13"/>
      <c r="J71" s="17" t="str">
        <f t="shared" si="240"/>
        <v>-</v>
      </c>
      <c r="K71" s="220"/>
      <c r="L71" s="13"/>
      <c r="M71" s="14" t="s">
        <v>17</v>
      </c>
      <c r="N71" s="13"/>
      <c r="O71" s="17" t="str">
        <f t="shared" si="241"/>
        <v>-</v>
      </c>
      <c r="P71" s="220"/>
      <c r="Q71" s="13"/>
      <c r="R71" s="14" t="s">
        <v>17</v>
      </c>
      <c r="S71" s="13"/>
      <c r="T71" s="17" t="str">
        <f t="shared" si="242"/>
        <v>-</v>
      </c>
      <c r="U71" s="220"/>
      <c r="V71" s="13"/>
      <c r="W71" s="14" t="s">
        <v>17</v>
      </c>
      <c r="X71" s="13"/>
      <c r="Y71" s="17" t="str">
        <f t="shared" si="243"/>
        <v>-</v>
      </c>
      <c r="Z71" s="220"/>
      <c r="AA71" s="13"/>
      <c r="AB71" s="14" t="s">
        <v>17</v>
      </c>
      <c r="AC71" s="13"/>
      <c r="AD71" s="17" t="str">
        <f t="shared" si="244"/>
        <v>-</v>
      </c>
      <c r="AE71" s="220"/>
      <c r="AF71" s="13"/>
      <c r="AG71" s="14" t="s">
        <v>17</v>
      </c>
      <c r="AH71" s="13"/>
      <c r="AI71" s="17" t="str">
        <f t="shared" si="245"/>
        <v>-</v>
      </c>
      <c r="AJ71" s="220"/>
      <c r="AK71" s="13"/>
      <c r="AL71" s="14" t="s">
        <v>17</v>
      </c>
      <c r="AM71" s="13"/>
      <c r="AN71" s="17" t="str">
        <f t="shared" si="246"/>
        <v>-</v>
      </c>
      <c r="AO71" s="220"/>
      <c r="AP71" s="13"/>
      <c r="AQ71" s="14" t="s">
        <v>17</v>
      </c>
      <c r="AR71" s="13"/>
      <c r="AS71" s="17" t="str">
        <f t="shared" si="247"/>
        <v>-</v>
      </c>
      <c r="AT71" s="220"/>
      <c r="AU71" s="13"/>
      <c r="AV71" s="14" t="s">
        <v>17</v>
      </c>
      <c r="AW71" s="13"/>
      <c r="AX71" s="17" t="str">
        <f t="shared" si="248"/>
        <v>-</v>
      </c>
      <c r="AY71" s="168"/>
      <c r="AZ71" s="13"/>
      <c r="BA71" s="14" t="s">
        <v>17</v>
      </c>
      <c r="BB71" s="13"/>
      <c r="BC71" s="17" t="str">
        <f t="shared" si="249"/>
        <v>-</v>
      </c>
      <c r="BD71" s="169"/>
      <c r="BE71" s="13"/>
      <c r="BF71" s="14" t="s">
        <v>17</v>
      </c>
      <c r="BG71" s="13"/>
      <c r="BH71" s="19" t="str">
        <f t="shared" si="250"/>
        <v>-</v>
      </c>
      <c r="BI71" s="169"/>
      <c r="BJ71" s="13"/>
      <c r="BK71" s="14" t="s">
        <v>17</v>
      </c>
      <c r="BL71" s="13"/>
      <c r="BM71" s="19" t="str">
        <f t="shared" si="251"/>
        <v>-</v>
      </c>
      <c r="BN71" s="169"/>
      <c r="BO71" s="13"/>
      <c r="BP71" s="14" t="s">
        <v>17</v>
      </c>
      <c r="BQ71" s="13"/>
      <c r="BR71" s="19" t="str">
        <f t="shared" si="252"/>
        <v>-</v>
      </c>
      <c r="BS71" s="169"/>
      <c r="BT71" s="13"/>
      <c r="BU71" s="14" t="s">
        <v>17</v>
      </c>
      <c r="BV71" s="13"/>
      <c r="BW71" s="19" t="str">
        <f t="shared" si="253"/>
        <v>-</v>
      </c>
      <c r="BX71" s="166"/>
      <c r="BY71" s="175"/>
      <c r="BZ71" s="16" t="s">
        <v>17</v>
      </c>
      <c r="CA71" s="175"/>
      <c r="CB71" s="17" t="str">
        <f t="shared" si="254"/>
        <v>-</v>
      </c>
      <c r="CC71" s="170"/>
      <c r="CD71" s="175"/>
      <c r="CE71" s="16" t="s">
        <v>17</v>
      </c>
      <c r="CF71" s="175"/>
      <c r="CG71" s="17" t="str">
        <f t="shared" si="255"/>
        <v>-</v>
      </c>
      <c r="CH71" s="170"/>
      <c r="CI71" s="175"/>
      <c r="CJ71" s="16" t="s">
        <v>17</v>
      </c>
      <c r="CK71" s="175"/>
      <c r="CL71" s="17" t="str">
        <f t="shared" si="256"/>
        <v>-</v>
      </c>
      <c r="CM71" s="170"/>
      <c r="CN71" s="175"/>
      <c r="CO71" s="16" t="s">
        <v>17</v>
      </c>
      <c r="CP71" s="175"/>
      <c r="CQ71" s="17" t="str">
        <f t="shared" si="257"/>
        <v>-</v>
      </c>
      <c r="CR71" s="170"/>
      <c r="CS71" s="175"/>
      <c r="CT71" s="16" t="s">
        <v>17</v>
      </c>
      <c r="CU71" s="175"/>
      <c r="CV71" s="17" t="str">
        <f t="shared" si="258"/>
        <v>-</v>
      </c>
      <c r="CW71" s="170"/>
      <c r="CX71" s="175"/>
      <c r="CY71" s="16" t="s">
        <v>17</v>
      </c>
      <c r="CZ71" s="175"/>
      <c r="DA71" s="17" t="str">
        <f t="shared" si="259"/>
        <v>-</v>
      </c>
      <c r="DB71" s="170"/>
      <c r="DC71" s="175"/>
      <c r="DD71" s="16" t="s">
        <v>17</v>
      </c>
      <c r="DE71" s="175"/>
      <c r="DF71" s="17" t="str">
        <f t="shared" si="260"/>
        <v>-</v>
      </c>
      <c r="DG71" s="170"/>
      <c r="DH71" s="175"/>
      <c r="DI71" s="16" t="s">
        <v>17</v>
      </c>
      <c r="DJ71" s="175"/>
      <c r="DK71" s="17" t="str">
        <f t="shared" si="261"/>
        <v>-</v>
      </c>
      <c r="DL71" s="170"/>
      <c r="DM71" s="175"/>
      <c r="DN71" s="16" t="s">
        <v>17</v>
      </c>
      <c r="DO71" s="175"/>
      <c r="DP71" s="17" t="str">
        <f t="shared" si="262"/>
        <v>-</v>
      </c>
      <c r="DQ71" s="170"/>
      <c r="DR71" s="175"/>
      <c r="DS71" s="16" t="s">
        <v>17</v>
      </c>
      <c r="DT71" s="175"/>
      <c r="DU71" s="17" t="str">
        <f t="shared" si="263"/>
        <v>-</v>
      </c>
      <c r="DV71" s="170"/>
      <c r="DW71" s="175"/>
      <c r="DX71" s="16" t="s">
        <v>17</v>
      </c>
      <c r="DY71" s="175"/>
      <c r="DZ71" s="17" t="str">
        <f t="shared" si="264"/>
        <v>-</v>
      </c>
      <c r="EA71" s="166"/>
      <c r="EB71" s="175"/>
      <c r="EC71" s="16" t="s">
        <v>17</v>
      </c>
      <c r="ED71" s="175"/>
      <c r="EE71" s="17" t="str">
        <f t="shared" si="265"/>
        <v>-</v>
      </c>
      <c r="EF71" s="166"/>
      <c r="EG71" s="175"/>
      <c r="EH71" s="16" t="s">
        <v>17</v>
      </c>
      <c r="EI71" s="175"/>
      <c r="EJ71" s="17" t="str">
        <f t="shared" si="266"/>
        <v>-</v>
      </c>
      <c r="EK71" s="166"/>
      <c r="EL71" s="175"/>
      <c r="EM71" s="16" t="s">
        <v>17</v>
      </c>
      <c r="EN71" s="175"/>
      <c r="EO71" s="17" t="str">
        <f t="shared" si="267"/>
        <v>-</v>
      </c>
      <c r="EP71" s="166"/>
      <c r="EQ71" s="175"/>
      <c r="ER71" s="16" t="s">
        <v>17</v>
      </c>
      <c r="ES71" s="175"/>
      <c r="ET71" s="17" t="str">
        <f t="shared" si="268"/>
        <v>-</v>
      </c>
      <c r="EU71" s="166"/>
      <c r="EV71" s="13"/>
      <c r="EW71" s="14" t="s">
        <v>17</v>
      </c>
      <c r="EX71" s="13"/>
      <c r="EY71" s="19" t="str">
        <f t="shared" si="269"/>
        <v>-</v>
      </c>
      <c r="EZ71" s="166"/>
      <c r="FA71" s="8"/>
    </row>
    <row r="72" spans="1:157" ht="17.399999999999999">
      <c r="A72" s="250" t="s">
        <v>110</v>
      </c>
      <c r="B72" s="251"/>
      <c r="C72" s="252" t="s">
        <v>17</v>
      </c>
      <c r="D72" s="251"/>
      <c r="E72" s="250" t="s">
        <v>107</v>
      </c>
      <c r="F72" s="166"/>
      <c r="G72" s="251"/>
      <c r="H72" s="252" t="s">
        <v>17</v>
      </c>
      <c r="I72" s="251"/>
      <c r="J72" s="253" t="str">
        <f t="shared" si="240"/>
        <v>-</v>
      </c>
      <c r="K72" s="220"/>
      <c r="L72" s="251"/>
      <c r="M72" s="252" t="s">
        <v>17</v>
      </c>
      <c r="N72" s="251"/>
      <c r="O72" s="253" t="str">
        <f t="shared" si="241"/>
        <v>-</v>
      </c>
      <c r="P72" s="220"/>
      <c r="Q72" s="251"/>
      <c r="R72" s="252" t="s">
        <v>17</v>
      </c>
      <c r="S72" s="251"/>
      <c r="T72" s="253" t="str">
        <f t="shared" si="242"/>
        <v>-</v>
      </c>
      <c r="U72" s="220"/>
      <c r="V72" s="251"/>
      <c r="W72" s="252" t="s">
        <v>17</v>
      </c>
      <c r="X72" s="251"/>
      <c r="Y72" s="253" t="str">
        <f t="shared" si="243"/>
        <v>-</v>
      </c>
      <c r="Z72" s="220"/>
      <c r="AA72" s="251"/>
      <c r="AB72" s="252" t="s">
        <v>17</v>
      </c>
      <c r="AC72" s="251"/>
      <c r="AD72" s="253" t="str">
        <f t="shared" si="244"/>
        <v>-</v>
      </c>
      <c r="AE72" s="220"/>
      <c r="AF72" s="251"/>
      <c r="AG72" s="252" t="s">
        <v>17</v>
      </c>
      <c r="AH72" s="251"/>
      <c r="AI72" s="253" t="str">
        <f t="shared" si="245"/>
        <v>-</v>
      </c>
      <c r="AJ72" s="220"/>
      <c r="AK72" s="251"/>
      <c r="AL72" s="252" t="s">
        <v>17</v>
      </c>
      <c r="AM72" s="251"/>
      <c r="AN72" s="253" t="str">
        <f t="shared" si="246"/>
        <v>-</v>
      </c>
      <c r="AO72" s="220"/>
      <c r="AP72" s="251"/>
      <c r="AQ72" s="252" t="s">
        <v>17</v>
      </c>
      <c r="AR72" s="251"/>
      <c r="AS72" s="253" t="str">
        <f t="shared" si="247"/>
        <v>-</v>
      </c>
      <c r="AT72" s="220"/>
      <c r="AU72" s="251"/>
      <c r="AV72" s="252" t="s">
        <v>17</v>
      </c>
      <c r="AW72" s="251"/>
      <c r="AX72" s="253" t="str">
        <f t="shared" si="248"/>
        <v>-</v>
      </c>
      <c r="AY72" s="168"/>
      <c r="AZ72" s="251"/>
      <c r="BA72" s="252" t="s">
        <v>17</v>
      </c>
      <c r="BB72" s="251"/>
      <c r="BC72" s="253" t="str">
        <f t="shared" si="249"/>
        <v>-</v>
      </c>
      <c r="BD72" s="169"/>
      <c r="BE72" s="251"/>
      <c r="BF72" s="252" t="s">
        <v>17</v>
      </c>
      <c r="BG72" s="251"/>
      <c r="BH72" s="254" t="str">
        <f t="shared" si="250"/>
        <v>-</v>
      </c>
      <c r="BI72" s="169"/>
      <c r="BJ72" s="251"/>
      <c r="BK72" s="252" t="s">
        <v>17</v>
      </c>
      <c r="BL72" s="251"/>
      <c r="BM72" s="254" t="str">
        <f t="shared" si="251"/>
        <v>-</v>
      </c>
      <c r="BN72" s="169"/>
      <c r="BO72" s="251"/>
      <c r="BP72" s="252" t="s">
        <v>17</v>
      </c>
      <c r="BQ72" s="251"/>
      <c r="BR72" s="254" t="str">
        <f t="shared" si="252"/>
        <v>-</v>
      </c>
      <c r="BS72" s="169"/>
      <c r="BT72" s="251"/>
      <c r="BU72" s="252" t="s">
        <v>17</v>
      </c>
      <c r="BV72" s="251"/>
      <c r="BW72" s="254" t="str">
        <f t="shared" si="253"/>
        <v>-</v>
      </c>
      <c r="BX72" s="166"/>
      <c r="BY72" s="255"/>
      <c r="BZ72" s="256" t="s">
        <v>17</v>
      </c>
      <c r="CA72" s="255"/>
      <c r="CB72" s="253" t="str">
        <f t="shared" si="254"/>
        <v>-</v>
      </c>
      <c r="CC72" s="170"/>
      <c r="CD72" s="255"/>
      <c r="CE72" s="256" t="s">
        <v>17</v>
      </c>
      <c r="CF72" s="255"/>
      <c r="CG72" s="253" t="str">
        <f t="shared" si="255"/>
        <v>-</v>
      </c>
      <c r="CH72" s="170"/>
      <c r="CI72" s="255"/>
      <c r="CJ72" s="256" t="s">
        <v>17</v>
      </c>
      <c r="CK72" s="255"/>
      <c r="CL72" s="253" t="str">
        <f t="shared" si="256"/>
        <v>-</v>
      </c>
      <c r="CM72" s="170"/>
      <c r="CN72" s="255"/>
      <c r="CO72" s="256" t="s">
        <v>17</v>
      </c>
      <c r="CP72" s="255"/>
      <c r="CQ72" s="253" t="str">
        <f t="shared" si="257"/>
        <v>-</v>
      </c>
      <c r="CR72" s="170"/>
      <c r="CS72" s="255"/>
      <c r="CT72" s="256" t="s">
        <v>17</v>
      </c>
      <c r="CU72" s="255"/>
      <c r="CV72" s="253" t="str">
        <f t="shared" si="258"/>
        <v>-</v>
      </c>
      <c r="CW72" s="170"/>
      <c r="CX72" s="255"/>
      <c r="CY72" s="256" t="s">
        <v>17</v>
      </c>
      <c r="CZ72" s="255"/>
      <c r="DA72" s="253" t="str">
        <f t="shared" si="259"/>
        <v>-</v>
      </c>
      <c r="DB72" s="170"/>
      <c r="DC72" s="255"/>
      <c r="DD72" s="256" t="s">
        <v>17</v>
      </c>
      <c r="DE72" s="255"/>
      <c r="DF72" s="253" t="str">
        <f t="shared" si="260"/>
        <v>-</v>
      </c>
      <c r="DG72" s="170"/>
      <c r="DH72" s="255"/>
      <c r="DI72" s="256" t="s">
        <v>17</v>
      </c>
      <c r="DJ72" s="255"/>
      <c r="DK72" s="253" t="str">
        <f t="shared" si="261"/>
        <v>-</v>
      </c>
      <c r="DL72" s="170"/>
      <c r="DM72" s="255"/>
      <c r="DN72" s="256" t="s">
        <v>17</v>
      </c>
      <c r="DO72" s="255"/>
      <c r="DP72" s="253" t="str">
        <f t="shared" si="262"/>
        <v>-</v>
      </c>
      <c r="DQ72" s="170"/>
      <c r="DR72" s="255"/>
      <c r="DS72" s="256" t="s">
        <v>17</v>
      </c>
      <c r="DT72" s="255"/>
      <c r="DU72" s="253" t="str">
        <f t="shared" si="263"/>
        <v>-</v>
      </c>
      <c r="DV72" s="170"/>
      <c r="DW72" s="255"/>
      <c r="DX72" s="256" t="s">
        <v>17</v>
      </c>
      <c r="DY72" s="255"/>
      <c r="DZ72" s="253" t="str">
        <f t="shared" si="264"/>
        <v>-</v>
      </c>
      <c r="EA72" s="166"/>
      <c r="EB72" s="255"/>
      <c r="EC72" s="256" t="s">
        <v>17</v>
      </c>
      <c r="ED72" s="255"/>
      <c r="EE72" s="253" t="str">
        <f t="shared" si="265"/>
        <v>-</v>
      </c>
      <c r="EF72" s="166"/>
      <c r="EG72" s="255"/>
      <c r="EH72" s="256" t="s">
        <v>17</v>
      </c>
      <c r="EI72" s="255"/>
      <c r="EJ72" s="253" t="str">
        <f t="shared" si="266"/>
        <v>-</v>
      </c>
      <c r="EK72" s="166"/>
      <c r="EL72" s="255"/>
      <c r="EM72" s="256" t="s">
        <v>17</v>
      </c>
      <c r="EN72" s="255"/>
      <c r="EO72" s="253" t="str">
        <f t="shared" si="267"/>
        <v>-</v>
      </c>
      <c r="EP72" s="166"/>
      <c r="EQ72" s="255"/>
      <c r="ER72" s="256" t="s">
        <v>17</v>
      </c>
      <c r="ES72" s="255"/>
      <c r="ET72" s="253" t="str">
        <f t="shared" si="268"/>
        <v>-</v>
      </c>
      <c r="EU72" s="166"/>
      <c r="EV72" s="251"/>
      <c r="EW72" s="252" t="s">
        <v>17</v>
      </c>
      <c r="EX72" s="251"/>
      <c r="EY72" s="254" t="str">
        <f t="shared" si="269"/>
        <v>-</v>
      </c>
      <c r="EZ72" s="166"/>
      <c r="FA72" s="8"/>
    </row>
    <row r="73" spans="1:157" ht="17.399999999999999">
      <c r="A73" s="257"/>
      <c r="B73" s="257"/>
      <c r="C73" s="258"/>
      <c r="D73" s="257"/>
      <c r="E73" s="257"/>
      <c r="F73" s="166"/>
      <c r="G73" s="337">
        <f>SUM(J67:J72)</f>
        <v>0</v>
      </c>
      <c r="H73" s="301"/>
      <c r="I73" s="301"/>
      <c r="J73" s="179"/>
      <c r="K73" s="180"/>
      <c r="L73" s="337">
        <f>SUM(O67:O72)</f>
        <v>0</v>
      </c>
      <c r="M73" s="301"/>
      <c r="N73" s="301"/>
      <c r="O73" s="179"/>
      <c r="P73" s="180"/>
      <c r="Q73" s="337">
        <f>SUM(T67:T72)</f>
        <v>0</v>
      </c>
      <c r="R73" s="301"/>
      <c r="S73" s="301"/>
      <c r="T73" s="179"/>
      <c r="U73" s="180"/>
      <c r="V73" s="337">
        <f>SUM(Y67:Y72)</f>
        <v>0</v>
      </c>
      <c r="W73" s="301"/>
      <c r="X73" s="301"/>
      <c r="Y73" s="179"/>
      <c r="Z73" s="180"/>
      <c r="AA73" s="337">
        <f>SUM(AD67:AD72)</f>
        <v>0</v>
      </c>
      <c r="AB73" s="301"/>
      <c r="AC73" s="301"/>
      <c r="AD73" s="179"/>
      <c r="AE73" s="180"/>
      <c r="AF73" s="337">
        <f>SUM(AI67:AI72)</f>
        <v>0</v>
      </c>
      <c r="AG73" s="301"/>
      <c r="AH73" s="301"/>
      <c r="AI73" s="179"/>
      <c r="AJ73" s="180"/>
      <c r="AK73" s="337">
        <f>SUM(AN67:AN72)</f>
        <v>0</v>
      </c>
      <c r="AL73" s="301"/>
      <c r="AM73" s="301"/>
      <c r="AN73" s="179"/>
      <c r="AO73" s="180"/>
      <c r="AP73" s="337">
        <f>SUM(AS67:AS72)</f>
        <v>0</v>
      </c>
      <c r="AQ73" s="301"/>
      <c r="AR73" s="301"/>
      <c r="AS73" s="181"/>
      <c r="AT73" s="180"/>
      <c r="AU73" s="337">
        <f>SUM(AX67:AX72)</f>
        <v>0</v>
      </c>
      <c r="AV73" s="301"/>
      <c r="AW73" s="301"/>
      <c r="AX73" s="182"/>
      <c r="AY73" s="168"/>
      <c r="AZ73" s="337">
        <f>SUM(BC67:BC72)</f>
        <v>0</v>
      </c>
      <c r="BA73" s="301"/>
      <c r="BB73" s="301"/>
      <c r="BC73" s="182"/>
      <c r="BD73" s="169"/>
      <c r="BE73" s="337">
        <f>SUM(BH67:BH72)</f>
        <v>0</v>
      </c>
      <c r="BF73" s="301"/>
      <c r="BG73" s="301"/>
      <c r="BH73" s="182"/>
      <c r="BI73" s="169"/>
      <c r="BJ73" s="337">
        <f>SUM(BM67:BM72)</f>
        <v>0</v>
      </c>
      <c r="BK73" s="301"/>
      <c r="BL73" s="301"/>
      <c r="BM73" s="182"/>
      <c r="BN73" s="169"/>
      <c r="BO73" s="337">
        <f>SUM(BR67:BR72)</f>
        <v>0</v>
      </c>
      <c r="BP73" s="301"/>
      <c r="BQ73" s="301"/>
      <c r="BR73" s="182"/>
      <c r="BS73" s="169"/>
      <c r="BT73" s="337">
        <f>SUM(BW67:BW72)</f>
        <v>0</v>
      </c>
      <c r="BU73" s="301"/>
      <c r="BV73" s="301"/>
      <c r="BW73" s="182"/>
      <c r="BX73" s="166"/>
      <c r="BY73" s="337">
        <f>SUM(CB67:CB72)</f>
        <v>0</v>
      </c>
      <c r="BZ73" s="301"/>
      <c r="CA73" s="301"/>
      <c r="CB73" s="182"/>
      <c r="CC73" s="183"/>
      <c r="CD73" s="337">
        <f>SUM(CG67:CG72)</f>
        <v>0</v>
      </c>
      <c r="CE73" s="301"/>
      <c r="CF73" s="301"/>
      <c r="CG73" s="182"/>
      <c r="CH73" s="183"/>
      <c r="CI73" s="337">
        <f>SUM(CL67:CL72)</f>
        <v>0</v>
      </c>
      <c r="CJ73" s="301"/>
      <c r="CK73" s="301"/>
      <c r="CL73" s="182"/>
      <c r="CM73" s="183"/>
      <c r="CN73" s="337">
        <f>SUM(CQ67:CQ72)</f>
        <v>0</v>
      </c>
      <c r="CO73" s="301"/>
      <c r="CP73" s="301"/>
      <c r="CQ73" s="182"/>
      <c r="CR73" s="183"/>
      <c r="CS73" s="337">
        <f>SUM(CV67:CV72)</f>
        <v>0</v>
      </c>
      <c r="CT73" s="301"/>
      <c r="CU73" s="301"/>
      <c r="CV73" s="182"/>
      <c r="CW73" s="183"/>
      <c r="CX73" s="337">
        <f>SUM(DA67:DA72)</f>
        <v>0</v>
      </c>
      <c r="CY73" s="301"/>
      <c r="CZ73" s="301"/>
      <c r="DA73" s="182"/>
      <c r="DB73" s="183"/>
      <c r="DC73" s="337">
        <f>SUM(DF67:DF72)</f>
        <v>0</v>
      </c>
      <c r="DD73" s="301"/>
      <c r="DE73" s="301"/>
      <c r="DF73" s="182"/>
      <c r="DG73" s="183"/>
      <c r="DH73" s="337">
        <f>SUM(DK67:DK72)</f>
        <v>0</v>
      </c>
      <c r="DI73" s="301"/>
      <c r="DJ73" s="301"/>
      <c r="DK73" s="182"/>
      <c r="DL73" s="183"/>
      <c r="DM73" s="337">
        <f>SUM(DP67:DP72)</f>
        <v>0</v>
      </c>
      <c r="DN73" s="301"/>
      <c r="DO73" s="301"/>
      <c r="DP73" s="182"/>
      <c r="DQ73" s="183"/>
      <c r="DR73" s="337">
        <f>SUM(DU67:DU72)</f>
        <v>0</v>
      </c>
      <c r="DS73" s="301"/>
      <c r="DT73" s="301"/>
      <c r="DU73" s="182"/>
      <c r="DV73" s="183"/>
      <c r="DW73" s="337">
        <f>SUM(DZ67:DZ72)</f>
        <v>0</v>
      </c>
      <c r="DX73" s="301"/>
      <c r="DY73" s="301"/>
      <c r="DZ73" s="182"/>
      <c r="EA73" s="166"/>
      <c r="EB73" s="337">
        <f>SUM(EE67:EE72)</f>
        <v>0</v>
      </c>
      <c r="EC73" s="301"/>
      <c r="ED73" s="301"/>
      <c r="EE73" s="182"/>
      <c r="EF73" s="166"/>
      <c r="EG73" s="337">
        <f>SUM(EJ67:EJ72)</f>
        <v>0</v>
      </c>
      <c r="EH73" s="301"/>
      <c r="EI73" s="301"/>
      <c r="EJ73" s="182"/>
      <c r="EK73" s="166"/>
      <c r="EL73" s="337">
        <f>SUM(EO67:EO72)</f>
        <v>0</v>
      </c>
      <c r="EM73" s="301"/>
      <c r="EN73" s="301"/>
      <c r="EO73" s="182"/>
      <c r="EP73" s="166"/>
      <c r="EQ73" s="337">
        <f>SUM(ET67:ET72)</f>
        <v>0</v>
      </c>
      <c r="ER73" s="301"/>
      <c r="ES73" s="301"/>
      <c r="ET73" s="182"/>
      <c r="EU73" s="166"/>
      <c r="EV73" s="337">
        <f>SUM(EY67:EY72)</f>
        <v>0</v>
      </c>
      <c r="EW73" s="301"/>
      <c r="EX73" s="301"/>
      <c r="EY73" s="182"/>
      <c r="EZ73" s="166"/>
      <c r="FA73" s="8"/>
    </row>
    <row r="74" spans="1:157" ht="17.399999999999999">
      <c r="A74" s="338" t="s">
        <v>111</v>
      </c>
      <c r="B74" s="301"/>
      <c r="C74" s="301"/>
      <c r="D74" s="301"/>
      <c r="E74" s="301"/>
      <c r="F74" s="166"/>
      <c r="G74" s="260"/>
      <c r="H74" s="260"/>
      <c r="I74" s="260"/>
      <c r="J74" s="261"/>
      <c r="K74" s="216"/>
      <c r="L74" s="260"/>
      <c r="M74" s="260"/>
      <c r="N74" s="260"/>
      <c r="O74" s="261"/>
      <c r="P74" s="216"/>
      <c r="Q74" s="260"/>
      <c r="R74" s="260"/>
      <c r="S74" s="260"/>
      <c r="T74" s="261"/>
      <c r="U74" s="216"/>
      <c r="V74" s="260"/>
      <c r="W74" s="260"/>
      <c r="X74" s="260"/>
      <c r="Y74" s="261"/>
      <c r="Z74" s="216"/>
      <c r="AA74" s="260"/>
      <c r="AB74" s="260"/>
      <c r="AC74" s="260"/>
      <c r="AD74" s="261"/>
      <c r="AE74" s="216"/>
      <c r="AF74" s="260"/>
      <c r="AG74" s="260"/>
      <c r="AH74" s="260"/>
      <c r="AI74" s="261"/>
      <c r="AJ74" s="216"/>
      <c r="AK74" s="260"/>
      <c r="AL74" s="260"/>
      <c r="AM74" s="260"/>
      <c r="AN74" s="261"/>
      <c r="AO74" s="216"/>
      <c r="AP74" s="260"/>
      <c r="AQ74" s="260"/>
      <c r="AR74" s="260"/>
      <c r="AS74" s="261"/>
      <c r="AT74" s="181"/>
      <c r="AU74" s="262"/>
      <c r="AV74" s="262"/>
      <c r="AW74" s="262"/>
      <c r="AX74" s="261"/>
      <c r="AY74" s="168"/>
      <c r="AZ74" s="260"/>
      <c r="BA74" s="260"/>
      <c r="BB74" s="260"/>
      <c r="BC74" s="261"/>
      <c r="BD74" s="169"/>
      <c r="BE74" s="260"/>
      <c r="BF74" s="260"/>
      <c r="BG74" s="260"/>
      <c r="BH74" s="260"/>
      <c r="BI74" s="169"/>
      <c r="BJ74" s="260"/>
      <c r="BK74" s="260"/>
      <c r="BL74" s="260"/>
      <c r="BM74" s="260"/>
      <c r="BN74" s="169"/>
      <c r="BO74" s="260"/>
      <c r="BP74" s="260"/>
      <c r="BQ74" s="260"/>
      <c r="BR74" s="260"/>
      <c r="BS74" s="169"/>
      <c r="BT74" s="260"/>
      <c r="BU74" s="260"/>
      <c r="BV74" s="260"/>
      <c r="BW74" s="260"/>
      <c r="BX74" s="166"/>
      <c r="BY74" s="263"/>
      <c r="BZ74" s="263"/>
      <c r="CA74" s="263"/>
      <c r="CB74" s="264"/>
      <c r="CC74" s="183"/>
      <c r="CD74" s="263"/>
      <c r="CE74" s="263"/>
      <c r="CF74" s="263"/>
      <c r="CG74" s="264"/>
      <c r="CH74" s="183"/>
      <c r="CI74" s="263"/>
      <c r="CJ74" s="263"/>
      <c r="CK74" s="263"/>
      <c r="CL74" s="264"/>
      <c r="CM74" s="183"/>
      <c r="CN74" s="263"/>
      <c r="CO74" s="263"/>
      <c r="CP74" s="263"/>
      <c r="CQ74" s="264"/>
      <c r="CR74" s="183"/>
      <c r="CS74" s="263"/>
      <c r="CT74" s="263"/>
      <c r="CU74" s="263"/>
      <c r="CV74" s="264"/>
      <c r="CW74" s="183"/>
      <c r="CX74" s="263"/>
      <c r="CY74" s="263"/>
      <c r="CZ74" s="263"/>
      <c r="DA74" s="263"/>
      <c r="DB74" s="183"/>
      <c r="DC74" s="263"/>
      <c r="DD74" s="263"/>
      <c r="DE74" s="263"/>
      <c r="DF74" s="264"/>
      <c r="DG74" s="183"/>
      <c r="DH74" s="263"/>
      <c r="DI74" s="263"/>
      <c r="DJ74" s="263"/>
      <c r="DK74" s="263"/>
      <c r="DL74" s="183"/>
      <c r="DM74" s="263"/>
      <c r="DN74" s="263"/>
      <c r="DO74" s="263"/>
      <c r="DP74" s="259"/>
      <c r="DQ74" s="183"/>
      <c r="DR74" s="263"/>
      <c r="DS74" s="263"/>
      <c r="DT74" s="263"/>
      <c r="DU74" s="259"/>
      <c r="DV74" s="183"/>
      <c r="DW74" s="263"/>
      <c r="DX74" s="263"/>
      <c r="DY74" s="263"/>
      <c r="DZ74" s="259"/>
      <c r="EA74" s="166"/>
      <c r="EB74" s="263"/>
      <c r="EC74" s="263"/>
      <c r="ED74" s="263"/>
      <c r="EE74" s="260"/>
      <c r="EF74" s="166"/>
      <c r="EG74" s="263"/>
      <c r="EH74" s="263"/>
      <c r="EI74" s="263"/>
      <c r="EJ74" s="259"/>
      <c r="EK74" s="166"/>
      <c r="EL74" s="263"/>
      <c r="EM74" s="263"/>
      <c r="EN74" s="263"/>
      <c r="EO74" s="259"/>
      <c r="EP74" s="166"/>
      <c r="EQ74" s="263"/>
      <c r="ER74" s="263"/>
      <c r="ES74" s="263"/>
      <c r="ET74" s="259"/>
      <c r="EU74" s="166"/>
      <c r="EV74" s="260"/>
      <c r="EW74" s="260"/>
      <c r="EX74" s="260"/>
      <c r="EY74" s="260"/>
      <c r="EZ74" s="166"/>
      <c r="FA74" s="8"/>
    </row>
    <row r="75" spans="1:157" ht="17.399999999999999">
      <c r="A75" s="12" t="s">
        <v>112</v>
      </c>
      <c r="B75" s="13"/>
      <c r="C75" s="14" t="s">
        <v>17</v>
      </c>
      <c r="D75" s="13"/>
      <c r="E75" s="12" t="s">
        <v>113</v>
      </c>
      <c r="F75" s="166"/>
      <c r="G75" s="13"/>
      <c r="H75" s="14" t="s">
        <v>17</v>
      </c>
      <c r="I75" s="13"/>
      <c r="J75" s="17" t="str">
        <f t="shared" ref="J75:J80" si="270">IF(OR(B75="", D75=""), "-",
  IF(OR(G75="", I75=""), 0,
    IF(AND(G75=B75, I75=D75), 10,
      IF(AND(OR(AND(B75&gt;D75, G75&gt;I75), AND(B75&lt;D75, G75&lt;I75), AND(B75=D75, G75=I75)), OR(G75=B75, I75=D75)), 7,
        IF(OR(AND(B75&gt;D75, G75&gt;I75), AND(B75&lt;D75, G75&lt;I75), AND(B75=D75, G75=I75)), 5,
          IF(OR(G75=B75, I75=D75), 2, 0)
        )
      )
    )
  )
)</f>
        <v>-</v>
      </c>
      <c r="K75" s="220"/>
      <c r="L75" s="13"/>
      <c r="M75" s="14" t="s">
        <v>17</v>
      </c>
      <c r="N75" s="13"/>
      <c r="O75" s="17" t="str">
        <f t="shared" ref="O75:O80" si="271">IF(OR(B75="", D75=""), "-",
  IF(OR(L75="", N75=""), 0,
    IF(AND(L75=B75, N75=D75), 10,
      IF(AND(OR(AND(B75&gt;D75, L75&gt;N75), AND(B75&lt;D75, L75&lt;N75), AND(B75=D75, L75=N75)), OR(L75=B75, N75=D75)), 7,
        IF(OR(AND(B75&gt;D75, L75&gt;N75), AND(B75&lt;D75, L75&lt;N75), AND(B75=D75, L75=N75)), 5,
          IF(OR(L75=B75, N75=D75), 2, 0)
        )
      )
    )
  )
)</f>
        <v>-</v>
      </c>
      <c r="P75" s="220"/>
      <c r="Q75" s="13"/>
      <c r="R75" s="14" t="s">
        <v>17</v>
      </c>
      <c r="S75" s="13"/>
      <c r="T75" s="17" t="str">
        <f t="shared" ref="T75:T80" si="272">IF(OR(B75="", D75=""), "-",
  IF(OR(Q75="", S75=""), 0,
    IF(AND(Q75=B75, S75=D75), 10,
      IF(AND(OR(AND(B75&gt;D75, Q75&gt;S75), AND(B75&lt;D75, Q75&lt;S75), AND(B75=D75, Q75=S75)), OR(Q75=B75, S75=D75)), 7,
        IF(OR(AND(B75&gt;D75, Q75&gt;S75), AND(B75&lt;D75, Q75&lt;S75), AND(B75=D75, Q75=S75)), 5,
          IF(OR(Q75=B75, S75=D75), 2, 0)
        )
      )
    )
  )
)</f>
        <v>-</v>
      </c>
      <c r="U75" s="220"/>
      <c r="V75" s="13"/>
      <c r="W75" s="14" t="s">
        <v>17</v>
      </c>
      <c r="X75" s="13"/>
      <c r="Y75" s="17" t="str">
        <f t="shared" ref="Y75:Y80" si="273">IF(OR(B75="", D75=""), "-",
  IF(OR(V75="", X75=""), 0,
    IF(AND(V75=B75, X75=D75), 10,
      IF(AND(OR(AND(B75&gt;D75, V75&gt;X75), AND(B75&lt;D75, V75&lt;X75), AND(B75=D75, V75=X75)), OR(V75=B75, X75=D75)), 7,
        IF(OR(AND(B75&gt;D75, V75&gt;X75), AND(B75&lt;D75, V75&lt;X75), AND(B75=D75, V75=X75)), 5,
          IF(OR(V75=B75, X75=D75), 2, 0)
        )
      )
    )
  )
)</f>
        <v>-</v>
      </c>
      <c r="Z75" s="220"/>
      <c r="AA75" s="13"/>
      <c r="AB75" s="14" t="s">
        <v>17</v>
      </c>
      <c r="AC75" s="13"/>
      <c r="AD75" s="17" t="str">
        <f t="shared" ref="AD75:AD80" si="274">IF(OR(B75="", D75=""), "-",
  IF(OR(AA75="", AC75=""), 0,
    IF(AND(AA75=B75, AC75=D75), 10,
      IF(AND(OR(AND(B75&gt;D75, AA75&gt;AC75), AND(B75&lt;D75, AA75&lt;AC75), AND(B75=D75, AA75=AC75)), OR(AA75=B75, AC75=D75)), 7,
        IF(OR(AND(B75&gt;D75, AA75&gt;AC75), AND(B75&lt;D75, AA75&lt;AC75), AND(B75=D75, AA75=AC75)), 5,
          IF(OR(AA75=B75, AC75=D75), 2, 0)
        )
      )
    )
  )
)</f>
        <v>-</v>
      </c>
      <c r="AE75" s="220"/>
      <c r="AF75" s="13"/>
      <c r="AG75" s="14" t="s">
        <v>17</v>
      </c>
      <c r="AH75" s="13"/>
      <c r="AI75" s="17" t="str">
        <f t="shared" ref="AI75:AI80" si="275">IF(OR(B75="", D75=""), "-",
  IF(OR(AF75="", AH75=""), 0,
    IF(AND(AF75=B75, AH75=D75), 10,
      IF(AND(OR(AND(B75&gt;D75, AF75&gt;AH75), AND(B75&lt;D75, AF75&lt;AH75), AND(B75=D75, AF75=AH75)), OR(AF75=B75, AH75=D75)), 7,
        IF(OR(AND(B75&gt;D75, AF75&gt;AH75), AND(B75&lt;D75, AF75&lt;AH75), AND(B75=D75, AF75=AH75)), 5,
          IF(OR(AF75=B75, AH75=D75), 2, 0)
        )
      )
    )
  )
)</f>
        <v>-</v>
      </c>
      <c r="AJ75" s="220"/>
      <c r="AK75" s="13"/>
      <c r="AL75" s="14" t="s">
        <v>17</v>
      </c>
      <c r="AM75" s="13"/>
      <c r="AN75" s="17" t="str">
        <f t="shared" ref="AN75:AN80" si="276">IF(OR(B75="", D75=""), "-",
  IF(OR(AK75="", AM75=""), 0,
    IF(AND(AK75=B75, AM75=D75), 10,
      IF(AND(OR(AND(B75&gt;D75, AK75&gt;AM75), AND(B75&lt;D75, AK75&lt;AM75), AND(B75=D75, AK75=AM75)), OR(AK75=B75, AM75=D75)), 7,
        IF(OR(AND(B75&gt;D75, AK75&gt;AM75), AND(B75&lt;D75, AK75&lt;AM75), AND(B75=D75, AK75=AM75)), 5,
          IF(OR(AK75=B75, AM75=D75), 2, 0)
        )
      )
    )
  )
)</f>
        <v>-</v>
      </c>
      <c r="AO75" s="220"/>
      <c r="AP75" s="13"/>
      <c r="AQ75" s="14" t="s">
        <v>17</v>
      </c>
      <c r="AR75" s="13"/>
      <c r="AS75" s="17" t="str">
        <f t="shared" ref="AS75:AS80" si="277">IF(OR(B75="", D75=""), "-",
  IF(OR(AP75="", AR75=""), 0,
    IF(AND(AP75=B75, AR75=D75), 10,
      IF(AND(OR(AND(B75&gt;D75, AP75&gt;AR75), AND(B75&lt;D75, AP75&lt;AR75), AND(B75=D75, AP75=AR75)), OR(AP75=B75, AR75=D75)), 7,
        IF(OR(AND(B75&gt;D75, AP75&gt;AR75), AND(B75&lt;D75, AP75&lt;AR75), AND(B75=D75, AP75=AR75)), 5,
          IF(OR(AP75=B75, AR75=D75), 2, 0)
        )
      )
    )
  )
)</f>
        <v>-</v>
      </c>
      <c r="AT75" s="220"/>
      <c r="AU75" s="13"/>
      <c r="AV75" s="14" t="s">
        <v>17</v>
      </c>
      <c r="AW75" s="13"/>
      <c r="AX75" s="17" t="str">
        <f t="shared" ref="AX75:AX80" si="278">IF(OR(B75="", D75=""), "-",
  IF(OR(AU75="", AW75=""), 0,
    IF(AND(AU75=B75, AW75=D75), 10,
      IF(AND(OR(AND(B75&gt;D75, AU75&gt;AW75), AND(B75&lt;D75, AU75&lt;AW75), AND(B75=D75, AU75=AW75)), OR(AU75=B75, AW75=D75)), 7,
        IF(OR(AND(B75&gt;D75, AU75&gt;AW75), AND(B75&lt;D75, AU75&lt;AW75), AND(B75=D75, AU75=AW75)), 5,
          IF(OR(AU75=B75, AW75=D75), 2, 0)
        )
      )
    )
  )
)</f>
        <v>-</v>
      </c>
      <c r="AY75" s="168"/>
      <c r="AZ75" s="13"/>
      <c r="BA75" s="14" t="s">
        <v>17</v>
      </c>
      <c r="BB75" s="13"/>
      <c r="BC75" s="17" t="str">
        <f t="shared" ref="BC75:BC80" si="279">IF(OR(B75="", D75=""), "-",
  IF(OR(AZ75="", BB75=""), 0,
    IF(AND(AZ75=B75, BB75=D75), 10,
      IF(AND(OR(AND(B75&gt;D75, AZ75&gt;BB75), AND(B75&lt;D75, AZ75&lt;BB75), AND(B75=D75, AZ75=BB75)), OR(AZ75=B75, BB75=D75)), 7,
        IF(OR(AND(B75&gt;D75, AZ75&gt;BB75), AND(B75&lt;D75, AZ75&lt;BB75), AND(B75=D75, AZ75=BB75)), 5,
          IF(OR(AZ75=B75, BB75=D75), 2, 0)
        )
      )
    )
  )
)</f>
        <v>-</v>
      </c>
      <c r="BD75" s="169"/>
      <c r="BE75" s="13"/>
      <c r="BF75" s="14" t="s">
        <v>17</v>
      </c>
      <c r="BG75" s="13"/>
      <c r="BH75" s="19" t="str">
        <f t="shared" ref="BH75:BH80" si="280">IF(OR(B75="", D75=""), "-",
  IF(OR(BE75="", BG75=""), 0,
    IF(AND(BE75=B75, BG75=D75), 10,
      IF(AND(OR(AND(B75&gt;D75, BE75&gt;BG75), AND(B75&lt;D75, BE75&lt;BG75), AND(B75=D75, BE75=BG75)), OR(BE75=B75, BG75=D75)), 7,
        IF(OR(AND(B75&gt;D75, BE75&gt;BG75), AND(B75&lt;D75, BE75&lt;BG75), AND(B75=D75, BE75=BG75)), 5,
          IF(OR(BE75=B75, BG75=D75), 2, 0)
        )
      )
    )
  )
)</f>
        <v>-</v>
      </c>
      <c r="BI75" s="169"/>
      <c r="BJ75" s="13"/>
      <c r="BK75" s="14" t="s">
        <v>17</v>
      </c>
      <c r="BL75" s="13"/>
      <c r="BM75" s="19" t="str">
        <f t="shared" ref="BM75:BM80" si="281">IF(OR(B75="", D75=""), "-",
  IF(OR(BJ75="", BL75=""), 0,
    IF(AND(BJ75=B75, BL75=D75), 10,
      IF(AND(OR(AND(B75&gt;D75, BJ75&gt;BL75), AND(B75&lt;D75, BJ75&lt;BL75), AND(B75=D75, BJ75=BL75)), OR(BJ75=B75, BL75=D75)), 7,
        IF(OR(AND(B75&gt;D75, BJ75&gt;BL75), AND(B75&lt;D75, BJ75&lt;BL75), AND(B75=D75, BJ75=BL75)), 5,
          IF(OR(BJ75=B75, BL75=D75), 2, 0)
        )
      )
    )
  )
)</f>
        <v>-</v>
      </c>
      <c r="BN75" s="169"/>
      <c r="BO75" s="13"/>
      <c r="BP75" s="14" t="s">
        <v>17</v>
      </c>
      <c r="BQ75" s="13"/>
      <c r="BR75" s="19" t="str">
        <f t="shared" ref="BR75:BR80" si="282">IF(OR(B75="", D75=""), "-",
  IF(OR(BO75="", BQ75=""), 0,
    IF(AND(BO75=B75, BQ75=D75), 10,
      IF(AND(OR(AND(B75&gt;D75, BO75&gt;BQ75), AND(B75&lt;D75, BO75&lt;BQ75), AND(B75=D75, BO75=BQ75)), OR(BO75=B75, BQ75=D75)), 7,
        IF(OR(AND(B75&gt;D75, BO75&gt;BQ75), AND(B75&lt;D75, BO75&lt;BQ75), AND(B75=D75, BO75=BQ75)), 5,
          IF(OR(BO75=B75, BQ75=D75), 2, 0)
        )
      )
    )
  )
)</f>
        <v>-</v>
      </c>
      <c r="BS75" s="169"/>
      <c r="BT75" s="13"/>
      <c r="BU75" s="14" t="s">
        <v>17</v>
      </c>
      <c r="BV75" s="13"/>
      <c r="BW75" s="19" t="str">
        <f t="shared" ref="BW75:BW80" si="283">IF(OR(B75="", D75=""), "-",
  IF(OR(BT75="", BV75=""), 0,
    IF(AND(BT75=B75, BV75=D75), 10,
      IF(AND(OR(AND(B75&gt;D75, BT75&gt;BV75), AND(B75&lt;D75, BT75&lt;BV75), AND(B75=D75, BT75=BV75)), OR(BT75=B75, BV75=D75)), 7,
        IF(OR(AND(B75&gt;D75, BT75&gt;BV75), AND(B75&lt;D75, BT75&lt;BV75), AND(B75=D75, BT75=BV75)), 5,
          IF(OR(BT75=B75, BV75=D75), 2, 0)
        )
      )
    )
  )
)</f>
        <v>-</v>
      </c>
      <c r="BX75" s="166"/>
      <c r="BY75" s="175"/>
      <c r="BZ75" s="16" t="s">
        <v>17</v>
      </c>
      <c r="CA75" s="175"/>
      <c r="CB75" s="17" t="str">
        <f t="shared" ref="CB75:CB80" si="284">IF(OR(B75="", D75=""), "-",
  IF(OR(BY75="", CA75=""), 0,
    IF(AND(BY75=B75, CA75=D75), 10,
      IF(AND(OR(AND(B75&gt;D75, BY75&gt;CA75), AND(B75&lt;D75, BY75&lt;CA75), AND(B75=D75, BY75=CA75)), OR(BY75=B75, CA75=D75)), 7,
        IF(OR(AND(B75&gt;D75, BY75&gt;CA75), AND(B75&lt;D75, BY75&lt;CA75), AND(B75=D75, BY75=CA75)), 5,
          IF(OR(BY75=B75, CA75=D75), 2, 0)
        )
      )
    )
  )
)</f>
        <v>-</v>
      </c>
      <c r="CC75" s="170"/>
      <c r="CD75" s="175"/>
      <c r="CE75" s="16" t="s">
        <v>17</v>
      </c>
      <c r="CF75" s="175"/>
      <c r="CG75" s="17" t="str">
        <f t="shared" ref="CG75:CG80" si="285">IF(OR(B75="", D75=""), "-",
  IF(OR(CD75="", CF75=""), 0,
    IF(AND(CD75=B75, CF75=D75), 10,
      IF(AND(OR(AND(B75&gt;D75, CD75&gt;CF75), AND(B75&lt;D75, CD75&lt;CF75), AND(B75=D75, CD75=CF75)), OR(CD75=B75, CF75=D75)), 7,
        IF(OR(AND(B75&gt;D75, CD75&gt;CF75), AND(B75&lt;D75, CD75&lt;CF75), AND(B75=D75, CD75=CF75)), 5,
          IF(OR(CD75=B75, CF75=D75), 2, 0)
        )
      )
    )
  )
)</f>
        <v>-</v>
      </c>
      <c r="CH75" s="170"/>
      <c r="CI75" s="175"/>
      <c r="CJ75" s="16" t="s">
        <v>17</v>
      </c>
      <c r="CK75" s="175"/>
      <c r="CL75" s="17" t="str">
        <f t="shared" ref="CL75:CL80" si="286">IF(OR(B75="", D75=""), "-",
  IF(OR(CI75="", CK75=""), 0,
    IF(AND(CI75=B75, CK75=D75), 10,
      IF(AND(OR(AND(B75&gt;D75, CI75&gt;CK75), AND(B75&lt;D75, CI75&lt;CK75), AND(B75=D75, CI75=CK75)), OR(CI75=B75, CK75=D75)), 7,
        IF(OR(AND(B75&gt;D75, CI75&gt;CK75), AND(B75&lt;D75, CI75&lt;CK75), AND(B75=D75, CI75=CK75)), 5,
          IF(OR(CI75=B75, CK75=D75), 2, 0)
        )
      )
    )
  )
)</f>
        <v>-</v>
      </c>
      <c r="CM75" s="170"/>
      <c r="CN75" s="175"/>
      <c r="CO75" s="16" t="s">
        <v>17</v>
      </c>
      <c r="CP75" s="175"/>
      <c r="CQ75" s="17" t="str">
        <f t="shared" ref="CQ75:CQ80" si="287">IF(OR(B75="", D75=""), "-",
  IF(OR(CN75="", CP75=""), 0,
    IF(AND(CN75=B75, CP75=D75), 10,
      IF(AND(OR(AND(B75&gt;D75, CN75&gt;CP75), AND(B75&lt;D75, CN75&lt;CP75), AND(B75=D75, CN75=CP75)), OR(CN75=B75, CP75=D75)), 7,
        IF(OR(AND(B75&gt;D75, CN75&gt;CP75), AND(B75&lt;D75, CN75&lt;CP75), AND(B75=D75, CN75=CP75)), 5,
          IF(OR(CN75=B75, CP75=D75), 2, 0)
        )
      )
    )
  )
)</f>
        <v>-</v>
      </c>
      <c r="CR75" s="170"/>
      <c r="CS75" s="175"/>
      <c r="CT75" s="16" t="s">
        <v>17</v>
      </c>
      <c r="CU75" s="175"/>
      <c r="CV75" s="17" t="str">
        <f t="shared" ref="CV75:CV80" si="288">IF(OR(B75="", D75=""), "-",
  IF(OR(CS75="", CU75=""), 0,
    IF(AND(CS75=B75, CU75=D75), 10,
      IF(AND(OR(AND(B75&gt;D75, CS75&gt;CU75), AND(B75&lt;D75, CS75&lt;CU75), AND(B75=D75, CS75=CU75)), OR(CS75=B75, CU75=D75)), 7,
        IF(OR(AND(B75&gt;D75, CS75&gt;CU75), AND(B75&lt;D75, CS75&lt;CU75), AND(B75=D75, CS75=CU75)), 5,
          IF(OR(CS75=B75, CU75=D75), 2, 0)
        )
      )
    )
  )
)</f>
        <v>-</v>
      </c>
      <c r="CW75" s="170"/>
      <c r="CX75" s="175"/>
      <c r="CY75" s="16" t="s">
        <v>17</v>
      </c>
      <c r="CZ75" s="175"/>
      <c r="DA75" s="17" t="str">
        <f t="shared" ref="DA75:DA80" si="289">IF(OR(B75="", D75=""), "-",
  IF(OR(CX75="", CZ75=""), 0,
    IF(AND(CX75=B75, CZ75=D75), 10,
      IF(AND(OR(AND(B75&gt;D75, CX75&gt;CZ75), AND(B75&lt;D75, CX75&lt;CZ75), AND(B75=D75, CX75=CZ75)), OR(CX75=B75, CZ75=D75)), 7,
        IF(OR(AND(B75&gt;D75, CX75&gt;CZ75), AND(B75&lt;D75, CX75&lt;CZ75), AND(B75=D75, CX75=CZ75)), 5,
          IF(OR(CX75=B75, CZ75=D75), 2, 0)
        )
      )
    )
  )
)</f>
        <v>-</v>
      </c>
      <c r="DB75" s="170"/>
      <c r="DC75" s="175"/>
      <c r="DD75" s="16" t="s">
        <v>17</v>
      </c>
      <c r="DE75" s="175"/>
      <c r="DF75" s="17" t="str">
        <f t="shared" ref="DF75:DF80" si="290">IF(OR(B75="", D75=""), "-",
  IF(OR(DC75="", DE75=""), 0,
    IF(AND(DC75=B75, DE75=D75), 10,
      IF(AND(OR(AND(B75&gt;D75, DC75&gt;DE75), AND(B75&lt;D75, DC75&lt;DE75), AND(B75=D75, DC75=DE75)), OR(DC75=B75, DE75=D75)), 7,
        IF(OR(AND(B75&gt;D75, DC75&gt;DE75), AND(B75&lt;D75, DC75&lt;DE75), AND(B75=D75, DC75=DE75)), 5,
          IF(OR(DC75=B75, DE75=D75), 2, 0)
        )
      )
    )
  )
)</f>
        <v>-</v>
      </c>
      <c r="DG75" s="170"/>
      <c r="DH75" s="175"/>
      <c r="DI75" s="16" t="s">
        <v>17</v>
      </c>
      <c r="DJ75" s="175"/>
      <c r="DK75" s="17" t="str">
        <f t="shared" ref="DK75:DK80" si="291">IF(OR(B75="", D75=""), "-",
  IF(OR(DH75="", DJ75=""), 0,
    IF(AND(DH75=B75, DJ75=D75), 10,
      IF(AND(OR(AND(B75&gt;D75, DH75&gt;DJ75), AND(B75&lt;D75, DH75&lt;DJ75), AND(B75=D75, DH75=DJ75)), OR(DH75=B75, DJ75=D75)), 7,
        IF(OR(AND(B75&gt;D75, DH75&gt;DJ75), AND(B75&lt;D75, DH75&lt;DJ75), AND(B75=D75, DH75=DJ75)), 5,
          IF(OR(DH75=B75, DJ75=D75), 2, 0)
        )
      )
    )
  )
)</f>
        <v>-</v>
      </c>
      <c r="DL75" s="170"/>
      <c r="DM75" s="175"/>
      <c r="DN75" s="16" t="s">
        <v>17</v>
      </c>
      <c r="DO75" s="175"/>
      <c r="DP75" s="17" t="str">
        <f t="shared" ref="DP75:DP80" si="292">IF(OR(B75="", D75=""), "-",
  IF(OR(DM75="", DO75=""), 0,
    IF(AND(DM75=B75, DO75=D75), 10,
      IF(AND(OR(AND(B75&gt;D75, DM75&gt;DO75), AND(B75&lt;D75, DM75&lt;DO75), AND(B75=D75, DM75=DO75)), OR(DM75=B75, DO75=D75)), 7,
        IF(OR(AND(B75&gt;D75, DM75&gt;DO75), AND(B75&lt;D75, DM75&lt;DO75), AND(B75=D75, DM75=DO75)), 5,
          IF(OR(DM75=B75, DO75=D75), 2, 0)
        )
      )
    )
  )
)</f>
        <v>-</v>
      </c>
      <c r="DQ75" s="170"/>
      <c r="DR75" s="175"/>
      <c r="DS75" s="16" t="s">
        <v>17</v>
      </c>
      <c r="DT75" s="175"/>
      <c r="DU75" s="17" t="str">
        <f t="shared" ref="DU75:DU80" si="293">IF(OR(B75="", D75=""), "-",
  IF(OR(DR75="", DT75=""), 0,
    IF(AND(DR75=B75, DT75=D75), 10,
      IF(AND(OR(AND(B75&gt;D75, DR75&gt;DT75), AND(B75&lt;D75, DR75&lt;DT75), AND(B75=D75, DR75=DT75)), OR(DR75=B75, DT75=D75)), 7,
        IF(OR(AND(B75&gt;D75, DR75&gt;DT75), AND(B75&lt;D75, DR75&lt;DT75), AND(B75=D75, DR75=DT75)), 5,
          IF(OR(DR75=B75, DT75=D75), 2, 0)
        )
      )
    )
  )
)</f>
        <v>-</v>
      </c>
      <c r="DV75" s="170"/>
      <c r="DW75" s="175"/>
      <c r="DX75" s="16" t="s">
        <v>17</v>
      </c>
      <c r="DY75" s="175"/>
      <c r="DZ75" s="17" t="str">
        <f t="shared" ref="DZ75:DZ80" si="294">IF(OR(B75="", D75=""), "-",
  IF(OR(DW75="", DY75=""), 0,
    IF(AND(DW75=B75, DY75=D75), 10,
      IF(AND(OR(AND(B75&gt;D75, DW75&gt;DY75), AND(B75&lt;D75, DW75&lt;DY75), AND(B75=D75, DW75=DY75)), OR(DW75=B75, DY75=D75)), 7,
        IF(OR(AND(B75&gt;D75, DW75&gt;DY75), AND(B75&lt;D75, DW75&lt;DY75), AND(B75=D75, DW75=DY75)), 5,
          IF(OR(DW75=B75, DY75=D75), 2, 0)
        )
      )
    )
  )
)</f>
        <v>-</v>
      </c>
      <c r="EA75" s="166"/>
      <c r="EB75" s="175"/>
      <c r="EC75" s="16" t="s">
        <v>17</v>
      </c>
      <c r="ED75" s="175"/>
      <c r="EE75" s="17" t="str">
        <f t="shared" ref="EE75:EE80" si="295">IF(OR(B75="", D75=""), "-",
  IF(OR(EB75="", ED75=""), 0,
    IF(AND(EB75=B75, ED75=D75), 10,
      IF(AND(OR(AND(B75&gt;D75, EB75&gt;ED75), AND(B75&lt;D75, EB75&lt;ED75), AND(B75=D75, EB75=ED75)), OR(EB75=B75, ED75=D75)), 7,
        IF(OR(AND(B75&gt;D75, EB75&gt;ED75), AND(B75&lt;D75, EB75&lt;ED75), AND(B75=D75, EB75=ED75)), 5,
          IF(OR(EB75=B75, ED75=D75), 2, 0)
        )
      )
    )
  )
)</f>
        <v>-</v>
      </c>
      <c r="EF75" s="166"/>
      <c r="EG75" s="175"/>
      <c r="EH75" s="16" t="s">
        <v>17</v>
      </c>
      <c r="EI75" s="175"/>
      <c r="EJ75" s="17" t="str">
        <f t="shared" ref="EJ75:EJ80" si="296">IF(OR(B75="", D75=""), "-",
  IF(OR(EG75="", EI75=""), 0,
    IF(AND(EG75=B75, EI75=D75), 10,
      IF(AND(OR(AND(B75&gt;D75, EG75&gt;EI75), AND(B75&lt;D75, EG75&lt;EI75), AND(B75=D75, EG75=EI75)), OR(EG75=B75, EI75=D75)), 7,
        IF(OR(AND(B75&gt;D75, EG75&gt;EI75), AND(B75&lt;D75, EG75&lt;EI75), AND(B75=D75, EG75=EI75)), 5,
          IF(OR(EG75=B75, EI75=D75), 2, 0)
        )
      )
    )
  )
)</f>
        <v>-</v>
      </c>
      <c r="EK75" s="166"/>
      <c r="EL75" s="175"/>
      <c r="EM75" s="16" t="s">
        <v>17</v>
      </c>
      <c r="EN75" s="175"/>
      <c r="EO75" s="17" t="str">
        <f t="shared" ref="EO75:EO80" si="297">IF(OR(B75="", D75=""), "-",
  IF(OR(EL75="", EN75=""), 0,
    IF(AND(EL75=B75, EN75=D75), 10,
      IF(AND(OR(AND(B75&gt;D75, EL75&gt;EN75), AND(B75&lt;D75, EL75&lt;EN75), AND(B75=D75, EL75=EN75)), OR(EL75=B75, EN75=D75)), 7,
        IF(OR(AND(B75&gt;D75, EL75&gt;EN75), AND(B75&lt;D75, EL75&lt;EN75), AND(B75=D75, EL75=EN75)), 5,
          IF(OR(EL75=B75, EN75=D75), 2, 0)
        )
      )
    )
  )
)</f>
        <v>-</v>
      </c>
      <c r="EP75" s="166"/>
      <c r="EQ75" s="175"/>
      <c r="ER75" s="16" t="s">
        <v>17</v>
      </c>
      <c r="ES75" s="175"/>
      <c r="ET75" s="17" t="str">
        <f t="shared" ref="ET75:ET80" si="298">IF(OR(B75="", D75=""), "-",
  IF(OR(EQ75="", ES75=""), 0,
    IF(AND(EQ75=B75, ES75=D75), 10,
      IF(AND(OR(AND(B75&gt;D75, EQ75&gt;ES75), AND(B75&lt;D75, EQ75&lt;ES75), AND(B75=D75, EQ75=ES75)), OR(EQ75=B75, ES75=D75)), 7,
        IF(OR(AND(B75&gt;D75, EQ75&gt;ES75), AND(B75&lt;D75, EQ75&lt;ES75), AND(B75=D75, EQ75=ES75)), 5,
          IF(OR(EQ75=B75, ES75=D75), 2, 0)
        )
      )
    )
  )
)</f>
        <v>-</v>
      </c>
      <c r="EU75" s="166"/>
      <c r="EV75" s="13"/>
      <c r="EW75" s="14" t="s">
        <v>17</v>
      </c>
      <c r="EX75" s="13"/>
      <c r="EY75" s="19" t="str">
        <f t="shared" ref="EY75:EY80" si="299">IF(OR(B75="", D75=""), "-",
  IF(OR(EV75="", EX75=""), 0,
    IF(AND(EV75=B75, EX75=D75), 10,
      IF(AND(OR(AND(B75&gt;D75, EV75&gt;EX75), AND(B75&lt;D75, EV75&lt;EX75), AND(B75=D75, EV75=EX75)), OR(EV75=B75, EX75=D75)), 7,
        IF(OR(AND(B75&gt;D75, EV75&gt;EX75), AND(B75&lt;D75, EV75&lt;EX75), AND(B75=D75, EV75=EX75)), 5,
          IF(OR(EV75=B75, EX75=D75), 2, 0)
        )
      )
    )
  )
)</f>
        <v>-</v>
      </c>
      <c r="EZ75" s="166"/>
      <c r="FA75" s="8"/>
    </row>
    <row r="76" spans="1:157" ht="17.399999999999999">
      <c r="A76" s="265" t="s">
        <v>114</v>
      </c>
      <c r="B76" s="266"/>
      <c r="C76" s="267" t="s">
        <v>17</v>
      </c>
      <c r="D76" s="266"/>
      <c r="E76" s="265" t="s">
        <v>115</v>
      </c>
      <c r="F76" s="166"/>
      <c r="G76" s="266"/>
      <c r="H76" s="267" t="s">
        <v>17</v>
      </c>
      <c r="I76" s="266"/>
      <c r="J76" s="268" t="str">
        <f t="shared" si="270"/>
        <v>-</v>
      </c>
      <c r="K76" s="220"/>
      <c r="L76" s="266"/>
      <c r="M76" s="267" t="s">
        <v>17</v>
      </c>
      <c r="N76" s="266"/>
      <c r="O76" s="268" t="str">
        <f t="shared" si="271"/>
        <v>-</v>
      </c>
      <c r="P76" s="220"/>
      <c r="Q76" s="266"/>
      <c r="R76" s="267" t="s">
        <v>17</v>
      </c>
      <c r="S76" s="266"/>
      <c r="T76" s="268" t="str">
        <f t="shared" si="272"/>
        <v>-</v>
      </c>
      <c r="U76" s="220"/>
      <c r="V76" s="266"/>
      <c r="W76" s="267" t="s">
        <v>17</v>
      </c>
      <c r="X76" s="266"/>
      <c r="Y76" s="268" t="str">
        <f t="shared" si="273"/>
        <v>-</v>
      </c>
      <c r="Z76" s="220"/>
      <c r="AA76" s="266"/>
      <c r="AB76" s="267" t="s">
        <v>17</v>
      </c>
      <c r="AC76" s="266"/>
      <c r="AD76" s="268" t="str">
        <f t="shared" si="274"/>
        <v>-</v>
      </c>
      <c r="AE76" s="220"/>
      <c r="AF76" s="266"/>
      <c r="AG76" s="267" t="s">
        <v>17</v>
      </c>
      <c r="AH76" s="266"/>
      <c r="AI76" s="268" t="str">
        <f t="shared" si="275"/>
        <v>-</v>
      </c>
      <c r="AJ76" s="220"/>
      <c r="AK76" s="266"/>
      <c r="AL76" s="267" t="s">
        <v>17</v>
      </c>
      <c r="AM76" s="266"/>
      <c r="AN76" s="268" t="str">
        <f t="shared" si="276"/>
        <v>-</v>
      </c>
      <c r="AO76" s="220"/>
      <c r="AP76" s="266"/>
      <c r="AQ76" s="267" t="s">
        <v>17</v>
      </c>
      <c r="AR76" s="266"/>
      <c r="AS76" s="268" t="str">
        <f t="shared" si="277"/>
        <v>-</v>
      </c>
      <c r="AT76" s="220"/>
      <c r="AU76" s="266"/>
      <c r="AV76" s="267" t="s">
        <v>17</v>
      </c>
      <c r="AW76" s="266"/>
      <c r="AX76" s="268" t="str">
        <f t="shared" si="278"/>
        <v>-</v>
      </c>
      <c r="AY76" s="168"/>
      <c r="AZ76" s="266"/>
      <c r="BA76" s="267" t="s">
        <v>17</v>
      </c>
      <c r="BB76" s="266"/>
      <c r="BC76" s="268" t="str">
        <f t="shared" si="279"/>
        <v>-</v>
      </c>
      <c r="BD76" s="169"/>
      <c r="BE76" s="266"/>
      <c r="BF76" s="267" t="s">
        <v>17</v>
      </c>
      <c r="BG76" s="266"/>
      <c r="BH76" s="269" t="str">
        <f t="shared" si="280"/>
        <v>-</v>
      </c>
      <c r="BI76" s="169"/>
      <c r="BJ76" s="266"/>
      <c r="BK76" s="267" t="s">
        <v>17</v>
      </c>
      <c r="BL76" s="266"/>
      <c r="BM76" s="269" t="str">
        <f t="shared" si="281"/>
        <v>-</v>
      </c>
      <c r="BN76" s="169"/>
      <c r="BO76" s="266"/>
      <c r="BP76" s="267" t="s">
        <v>17</v>
      </c>
      <c r="BQ76" s="266"/>
      <c r="BR76" s="269" t="str">
        <f t="shared" si="282"/>
        <v>-</v>
      </c>
      <c r="BS76" s="169"/>
      <c r="BT76" s="266"/>
      <c r="BU76" s="267" t="s">
        <v>17</v>
      </c>
      <c r="BV76" s="266"/>
      <c r="BW76" s="269" t="str">
        <f t="shared" si="283"/>
        <v>-</v>
      </c>
      <c r="BX76" s="166"/>
      <c r="BY76" s="270"/>
      <c r="BZ76" s="271" t="s">
        <v>17</v>
      </c>
      <c r="CA76" s="270"/>
      <c r="CB76" s="268" t="str">
        <f t="shared" si="284"/>
        <v>-</v>
      </c>
      <c r="CC76" s="170"/>
      <c r="CD76" s="270"/>
      <c r="CE76" s="271" t="s">
        <v>17</v>
      </c>
      <c r="CF76" s="270"/>
      <c r="CG76" s="268" t="str">
        <f t="shared" si="285"/>
        <v>-</v>
      </c>
      <c r="CH76" s="170"/>
      <c r="CI76" s="270"/>
      <c r="CJ76" s="271" t="s">
        <v>17</v>
      </c>
      <c r="CK76" s="270"/>
      <c r="CL76" s="268" t="str">
        <f t="shared" si="286"/>
        <v>-</v>
      </c>
      <c r="CM76" s="170"/>
      <c r="CN76" s="270"/>
      <c r="CO76" s="271" t="s">
        <v>17</v>
      </c>
      <c r="CP76" s="270"/>
      <c r="CQ76" s="268" t="str">
        <f t="shared" si="287"/>
        <v>-</v>
      </c>
      <c r="CR76" s="170"/>
      <c r="CS76" s="270"/>
      <c r="CT76" s="271" t="s">
        <v>17</v>
      </c>
      <c r="CU76" s="270"/>
      <c r="CV76" s="268" t="str">
        <f t="shared" si="288"/>
        <v>-</v>
      </c>
      <c r="CW76" s="170"/>
      <c r="CX76" s="270"/>
      <c r="CY76" s="271" t="s">
        <v>17</v>
      </c>
      <c r="CZ76" s="270"/>
      <c r="DA76" s="268" t="str">
        <f t="shared" si="289"/>
        <v>-</v>
      </c>
      <c r="DB76" s="170"/>
      <c r="DC76" s="270"/>
      <c r="DD76" s="271" t="s">
        <v>17</v>
      </c>
      <c r="DE76" s="270"/>
      <c r="DF76" s="268" t="str">
        <f t="shared" si="290"/>
        <v>-</v>
      </c>
      <c r="DG76" s="170"/>
      <c r="DH76" s="270"/>
      <c r="DI76" s="271" t="s">
        <v>17</v>
      </c>
      <c r="DJ76" s="270"/>
      <c r="DK76" s="268" t="str">
        <f t="shared" si="291"/>
        <v>-</v>
      </c>
      <c r="DL76" s="170"/>
      <c r="DM76" s="270"/>
      <c r="DN76" s="271" t="s">
        <v>17</v>
      </c>
      <c r="DO76" s="270"/>
      <c r="DP76" s="268" t="str">
        <f t="shared" si="292"/>
        <v>-</v>
      </c>
      <c r="DQ76" s="170"/>
      <c r="DR76" s="270"/>
      <c r="DS76" s="271" t="s">
        <v>17</v>
      </c>
      <c r="DT76" s="270"/>
      <c r="DU76" s="268" t="str">
        <f t="shared" si="293"/>
        <v>-</v>
      </c>
      <c r="DV76" s="170"/>
      <c r="DW76" s="270"/>
      <c r="DX76" s="271" t="s">
        <v>17</v>
      </c>
      <c r="DY76" s="270"/>
      <c r="DZ76" s="268" t="str">
        <f t="shared" si="294"/>
        <v>-</v>
      </c>
      <c r="EA76" s="166"/>
      <c r="EB76" s="270"/>
      <c r="EC76" s="271" t="s">
        <v>17</v>
      </c>
      <c r="ED76" s="270"/>
      <c r="EE76" s="268" t="str">
        <f t="shared" si="295"/>
        <v>-</v>
      </c>
      <c r="EF76" s="166"/>
      <c r="EG76" s="270"/>
      <c r="EH76" s="271" t="s">
        <v>17</v>
      </c>
      <c r="EI76" s="270"/>
      <c r="EJ76" s="268" t="str">
        <f t="shared" si="296"/>
        <v>-</v>
      </c>
      <c r="EK76" s="166"/>
      <c r="EL76" s="270"/>
      <c r="EM76" s="271" t="s">
        <v>17</v>
      </c>
      <c r="EN76" s="270"/>
      <c r="EO76" s="268" t="str">
        <f t="shared" si="297"/>
        <v>-</v>
      </c>
      <c r="EP76" s="166"/>
      <c r="EQ76" s="270"/>
      <c r="ER76" s="271" t="s">
        <v>17</v>
      </c>
      <c r="ES76" s="270"/>
      <c r="ET76" s="268" t="str">
        <f t="shared" si="298"/>
        <v>-</v>
      </c>
      <c r="EU76" s="166"/>
      <c r="EV76" s="266"/>
      <c r="EW76" s="267" t="s">
        <v>17</v>
      </c>
      <c r="EX76" s="266"/>
      <c r="EY76" s="269" t="str">
        <f t="shared" si="299"/>
        <v>-</v>
      </c>
      <c r="EZ76" s="166"/>
      <c r="FA76" s="8"/>
    </row>
    <row r="77" spans="1:157" ht="17.399999999999999">
      <c r="A77" s="12" t="s">
        <v>112</v>
      </c>
      <c r="B77" s="13"/>
      <c r="C77" s="14" t="s">
        <v>17</v>
      </c>
      <c r="D77" s="13"/>
      <c r="E77" s="12" t="s">
        <v>114</v>
      </c>
      <c r="F77" s="166"/>
      <c r="G77" s="13"/>
      <c r="H77" s="14" t="s">
        <v>17</v>
      </c>
      <c r="I77" s="13"/>
      <c r="J77" s="17" t="str">
        <f t="shared" si="270"/>
        <v>-</v>
      </c>
      <c r="K77" s="220"/>
      <c r="L77" s="13"/>
      <c r="M77" s="14" t="s">
        <v>17</v>
      </c>
      <c r="N77" s="13"/>
      <c r="O77" s="17" t="str">
        <f t="shared" si="271"/>
        <v>-</v>
      </c>
      <c r="P77" s="220"/>
      <c r="Q77" s="13"/>
      <c r="R77" s="14" t="s">
        <v>17</v>
      </c>
      <c r="S77" s="13"/>
      <c r="T77" s="17" t="str">
        <f t="shared" si="272"/>
        <v>-</v>
      </c>
      <c r="U77" s="220"/>
      <c r="V77" s="13"/>
      <c r="W77" s="14" t="s">
        <v>17</v>
      </c>
      <c r="X77" s="13"/>
      <c r="Y77" s="17" t="str">
        <f t="shared" si="273"/>
        <v>-</v>
      </c>
      <c r="Z77" s="220"/>
      <c r="AA77" s="13"/>
      <c r="AB77" s="14" t="s">
        <v>17</v>
      </c>
      <c r="AC77" s="13"/>
      <c r="AD77" s="17" t="str">
        <f t="shared" si="274"/>
        <v>-</v>
      </c>
      <c r="AE77" s="220"/>
      <c r="AF77" s="13"/>
      <c r="AG77" s="14" t="s">
        <v>17</v>
      </c>
      <c r="AH77" s="13"/>
      <c r="AI77" s="17" t="str">
        <f t="shared" si="275"/>
        <v>-</v>
      </c>
      <c r="AJ77" s="220"/>
      <c r="AK77" s="13"/>
      <c r="AL77" s="14" t="s">
        <v>17</v>
      </c>
      <c r="AM77" s="13"/>
      <c r="AN77" s="17" t="str">
        <f t="shared" si="276"/>
        <v>-</v>
      </c>
      <c r="AO77" s="220"/>
      <c r="AP77" s="13"/>
      <c r="AQ77" s="14" t="s">
        <v>17</v>
      </c>
      <c r="AR77" s="13"/>
      <c r="AS77" s="17" t="str">
        <f t="shared" si="277"/>
        <v>-</v>
      </c>
      <c r="AT77" s="220"/>
      <c r="AU77" s="13"/>
      <c r="AV77" s="14" t="s">
        <v>17</v>
      </c>
      <c r="AW77" s="13"/>
      <c r="AX77" s="17" t="str">
        <f t="shared" si="278"/>
        <v>-</v>
      </c>
      <c r="AY77" s="168"/>
      <c r="AZ77" s="13"/>
      <c r="BA77" s="14" t="s">
        <v>17</v>
      </c>
      <c r="BB77" s="13"/>
      <c r="BC77" s="17" t="str">
        <f t="shared" si="279"/>
        <v>-</v>
      </c>
      <c r="BD77" s="169"/>
      <c r="BE77" s="13"/>
      <c r="BF77" s="14" t="s">
        <v>17</v>
      </c>
      <c r="BG77" s="13"/>
      <c r="BH77" s="19" t="str">
        <f t="shared" si="280"/>
        <v>-</v>
      </c>
      <c r="BI77" s="169"/>
      <c r="BJ77" s="13"/>
      <c r="BK77" s="14" t="s">
        <v>17</v>
      </c>
      <c r="BL77" s="13"/>
      <c r="BM77" s="19" t="str">
        <f t="shared" si="281"/>
        <v>-</v>
      </c>
      <c r="BN77" s="169"/>
      <c r="BO77" s="13"/>
      <c r="BP77" s="14" t="s">
        <v>17</v>
      </c>
      <c r="BQ77" s="13"/>
      <c r="BR77" s="19" t="str">
        <f t="shared" si="282"/>
        <v>-</v>
      </c>
      <c r="BS77" s="169"/>
      <c r="BT77" s="13"/>
      <c r="BU77" s="14" t="s">
        <v>17</v>
      </c>
      <c r="BV77" s="13"/>
      <c r="BW77" s="19" t="str">
        <f t="shared" si="283"/>
        <v>-</v>
      </c>
      <c r="BX77" s="166"/>
      <c r="BY77" s="175"/>
      <c r="BZ77" s="16" t="s">
        <v>17</v>
      </c>
      <c r="CA77" s="175"/>
      <c r="CB77" s="17" t="str">
        <f t="shared" si="284"/>
        <v>-</v>
      </c>
      <c r="CC77" s="170"/>
      <c r="CD77" s="175"/>
      <c r="CE77" s="16" t="s">
        <v>17</v>
      </c>
      <c r="CF77" s="175"/>
      <c r="CG77" s="17" t="str">
        <f t="shared" si="285"/>
        <v>-</v>
      </c>
      <c r="CH77" s="170"/>
      <c r="CI77" s="175"/>
      <c r="CJ77" s="16" t="s">
        <v>17</v>
      </c>
      <c r="CK77" s="175"/>
      <c r="CL77" s="17" t="str">
        <f t="shared" si="286"/>
        <v>-</v>
      </c>
      <c r="CM77" s="170"/>
      <c r="CN77" s="175"/>
      <c r="CO77" s="16" t="s">
        <v>17</v>
      </c>
      <c r="CP77" s="175"/>
      <c r="CQ77" s="17" t="str">
        <f t="shared" si="287"/>
        <v>-</v>
      </c>
      <c r="CR77" s="170"/>
      <c r="CS77" s="175"/>
      <c r="CT77" s="16" t="s">
        <v>17</v>
      </c>
      <c r="CU77" s="175"/>
      <c r="CV77" s="17" t="str">
        <f t="shared" si="288"/>
        <v>-</v>
      </c>
      <c r="CW77" s="170"/>
      <c r="CX77" s="175"/>
      <c r="CY77" s="16" t="s">
        <v>17</v>
      </c>
      <c r="CZ77" s="175"/>
      <c r="DA77" s="17" t="str">
        <f t="shared" si="289"/>
        <v>-</v>
      </c>
      <c r="DB77" s="170"/>
      <c r="DC77" s="175"/>
      <c r="DD77" s="16" t="s">
        <v>17</v>
      </c>
      <c r="DE77" s="175"/>
      <c r="DF77" s="17" t="str">
        <f t="shared" si="290"/>
        <v>-</v>
      </c>
      <c r="DG77" s="170"/>
      <c r="DH77" s="175"/>
      <c r="DI77" s="16" t="s">
        <v>17</v>
      </c>
      <c r="DJ77" s="175"/>
      <c r="DK77" s="17" t="str">
        <f t="shared" si="291"/>
        <v>-</v>
      </c>
      <c r="DL77" s="170"/>
      <c r="DM77" s="175"/>
      <c r="DN77" s="16" t="s">
        <v>17</v>
      </c>
      <c r="DO77" s="175"/>
      <c r="DP77" s="17" t="str">
        <f t="shared" si="292"/>
        <v>-</v>
      </c>
      <c r="DQ77" s="170"/>
      <c r="DR77" s="175"/>
      <c r="DS77" s="16" t="s">
        <v>17</v>
      </c>
      <c r="DT77" s="175"/>
      <c r="DU77" s="17" t="str">
        <f t="shared" si="293"/>
        <v>-</v>
      </c>
      <c r="DV77" s="170"/>
      <c r="DW77" s="175"/>
      <c r="DX77" s="16" t="s">
        <v>17</v>
      </c>
      <c r="DY77" s="175"/>
      <c r="DZ77" s="17" t="str">
        <f t="shared" si="294"/>
        <v>-</v>
      </c>
      <c r="EA77" s="166"/>
      <c r="EB77" s="175"/>
      <c r="EC77" s="16" t="s">
        <v>17</v>
      </c>
      <c r="ED77" s="175"/>
      <c r="EE77" s="17" t="str">
        <f t="shared" si="295"/>
        <v>-</v>
      </c>
      <c r="EF77" s="166"/>
      <c r="EG77" s="175"/>
      <c r="EH77" s="16" t="s">
        <v>17</v>
      </c>
      <c r="EI77" s="175"/>
      <c r="EJ77" s="17" t="str">
        <f t="shared" si="296"/>
        <v>-</v>
      </c>
      <c r="EK77" s="166"/>
      <c r="EL77" s="175"/>
      <c r="EM77" s="16" t="s">
        <v>17</v>
      </c>
      <c r="EN77" s="175"/>
      <c r="EO77" s="17" t="str">
        <f t="shared" si="297"/>
        <v>-</v>
      </c>
      <c r="EP77" s="166"/>
      <c r="EQ77" s="175"/>
      <c r="ER77" s="16" t="s">
        <v>17</v>
      </c>
      <c r="ES77" s="175"/>
      <c r="ET77" s="17" t="str">
        <f t="shared" si="298"/>
        <v>-</v>
      </c>
      <c r="EU77" s="166"/>
      <c r="EV77" s="13"/>
      <c r="EW77" s="14" t="s">
        <v>17</v>
      </c>
      <c r="EX77" s="13"/>
      <c r="EY77" s="19" t="str">
        <f t="shared" si="299"/>
        <v>-</v>
      </c>
      <c r="EZ77" s="166"/>
      <c r="FA77" s="8"/>
    </row>
    <row r="78" spans="1:157" ht="17.399999999999999">
      <c r="A78" s="265" t="s">
        <v>115</v>
      </c>
      <c r="B78" s="266"/>
      <c r="C78" s="267" t="s">
        <v>17</v>
      </c>
      <c r="D78" s="266"/>
      <c r="E78" s="265" t="s">
        <v>113</v>
      </c>
      <c r="F78" s="166"/>
      <c r="G78" s="266"/>
      <c r="H78" s="267" t="s">
        <v>17</v>
      </c>
      <c r="I78" s="266"/>
      <c r="J78" s="268" t="str">
        <f t="shared" si="270"/>
        <v>-</v>
      </c>
      <c r="K78" s="220"/>
      <c r="L78" s="266"/>
      <c r="M78" s="267" t="s">
        <v>17</v>
      </c>
      <c r="N78" s="266"/>
      <c r="O78" s="268" t="str">
        <f t="shared" si="271"/>
        <v>-</v>
      </c>
      <c r="P78" s="220"/>
      <c r="Q78" s="266"/>
      <c r="R78" s="267" t="s">
        <v>17</v>
      </c>
      <c r="S78" s="266"/>
      <c r="T78" s="268" t="str">
        <f t="shared" si="272"/>
        <v>-</v>
      </c>
      <c r="U78" s="220"/>
      <c r="V78" s="266"/>
      <c r="W78" s="267" t="s">
        <v>17</v>
      </c>
      <c r="X78" s="266"/>
      <c r="Y78" s="268" t="str">
        <f t="shared" si="273"/>
        <v>-</v>
      </c>
      <c r="Z78" s="220"/>
      <c r="AA78" s="266"/>
      <c r="AB78" s="267" t="s">
        <v>17</v>
      </c>
      <c r="AC78" s="266"/>
      <c r="AD78" s="268" t="str">
        <f t="shared" si="274"/>
        <v>-</v>
      </c>
      <c r="AE78" s="220"/>
      <c r="AF78" s="266"/>
      <c r="AG78" s="267" t="s">
        <v>17</v>
      </c>
      <c r="AH78" s="266"/>
      <c r="AI78" s="268" t="str">
        <f t="shared" si="275"/>
        <v>-</v>
      </c>
      <c r="AJ78" s="220"/>
      <c r="AK78" s="266"/>
      <c r="AL78" s="267" t="s">
        <v>17</v>
      </c>
      <c r="AM78" s="266"/>
      <c r="AN78" s="268" t="str">
        <f t="shared" si="276"/>
        <v>-</v>
      </c>
      <c r="AO78" s="220"/>
      <c r="AP78" s="266"/>
      <c r="AQ78" s="267" t="s">
        <v>17</v>
      </c>
      <c r="AR78" s="266"/>
      <c r="AS78" s="268" t="str">
        <f t="shared" si="277"/>
        <v>-</v>
      </c>
      <c r="AT78" s="220"/>
      <c r="AU78" s="266"/>
      <c r="AV78" s="267" t="s">
        <v>17</v>
      </c>
      <c r="AW78" s="266"/>
      <c r="AX78" s="268" t="str">
        <f t="shared" si="278"/>
        <v>-</v>
      </c>
      <c r="AY78" s="168"/>
      <c r="AZ78" s="266"/>
      <c r="BA78" s="267" t="s">
        <v>17</v>
      </c>
      <c r="BB78" s="266"/>
      <c r="BC78" s="268" t="str">
        <f t="shared" si="279"/>
        <v>-</v>
      </c>
      <c r="BD78" s="169"/>
      <c r="BE78" s="266"/>
      <c r="BF78" s="267" t="s">
        <v>17</v>
      </c>
      <c r="BG78" s="266"/>
      <c r="BH78" s="269" t="str">
        <f t="shared" si="280"/>
        <v>-</v>
      </c>
      <c r="BI78" s="169"/>
      <c r="BJ78" s="266"/>
      <c r="BK78" s="267" t="s">
        <v>17</v>
      </c>
      <c r="BL78" s="266"/>
      <c r="BM78" s="269" t="str">
        <f t="shared" si="281"/>
        <v>-</v>
      </c>
      <c r="BN78" s="169"/>
      <c r="BO78" s="266"/>
      <c r="BP78" s="267" t="s">
        <v>17</v>
      </c>
      <c r="BQ78" s="266"/>
      <c r="BR78" s="269" t="str">
        <f t="shared" si="282"/>
        <v>-</v>
      </c>
      <c r="BS78" s="169"/>
      <c r="BT78" s="266"/>
      <c r="BU78" s="267" t="s">
        <v>17</v>
      </c>
      <c r="BV78" s="266"/>
      <c r="BW78" s="269" t="str">
        <f t="shared" si="283"/>
        <v>-</v>
      </c>
      <c r="BX78" s="166"/>
      <c r="BY78" s="270"/>
      <c r="BZ78" s="271" t="s">
        <v>17</v>
      </c>
      <c r="CA78" s="270"/>
      <c r="CB78" s="268" t="str">
        <f t="shared" si="284"/>
        <v>-</v>
      </c>
      <c r="CC78" s="170"/>
      <c r="CD78" s="270"/>
      <c r="CE78" s="271" t="s">
        <v>17</v>
      </c>
      <c r="CF78" s="270"/>
      <c r="CG78" s="268" t="str">
        <f t="shared" si="285"/>
        <v>-</v>
      </c>
      <c r="CH78" s="170"/>
      <c r="CI78" s="270"/>
      <c r="CJ78" s="271" t="s">
        <v>17</v>
      </c>
      <c r="CK78" s="270"/>
      <c r="CL78" s="268" t="str">
        <f t="shared" si="286"/>
        <v>-</v>
      </c>
      <c r="CM78" s="170"/>
      <c r="CN78" s="270"/>
      <c r="CO78" s="271" t="s">
        <v>17</v>
      </c>
      <c r="CP78" s="270"/>
      <c r="CQ78" s="268" t="str">
        <f t="shared" si="287"/>
        <v>-</v>
      </c>
      <c r="CR78" s="170"/>
      <c r="CS78" s="270"/>
      <c r="CT78" s="271" t="s">
        <v>17</v>
      </c>
      <c r="CU78" s="270"/>
      <c r="CV78" s="268" t="str">
        <f t="shared" si="288"/>
        <v>-</v>
      </c>
      <c r="CW78" s="170"/>
      <c r="CX78" s="270"/>
      <c r="CY78" s="271" t="s">
        <v>17</v>
      </c>
      <c r="CZ78" s="270"/>
      <c r="DA78" s="268" t="str">
        <f t="shared" si="289"/>
        <v>-</v>
      </c>
      <c r="DB78" s="170"/>
      <c r="DC78" s="270"/>
      <c r="DD78" s="271" t="s">
        <v>17</v>
      </c>
      <c r="DE78" s="270"/>
      <c r="DF78" s="268" t="str">
        <f t="shared" si="290"/>
        <v>-</v>
      </c>
      <c r="DG78" s="170"/>
      <c r="DH78" s="270"/>
      <c r="DI78" s="271" t="s">
        <v>17</v>
      </c>
      <c r="DJ78" s="270"/>
      <c r="DK78" s="268" t="str">
        <f t="shared" si="291"/>
        <v>-</v>
      </c>
      <c r="DL78" s="170"/>
      <c r="DM78" s="270"/>
      <c r="DN78" s="271" t="s">
        <v>17</v>
      </c>
      <c r="DO78" s="270"/>
      <c r="DP78" s="268" t="str">
        <f t="shared" si="292"/>
        <v>-</v>
      </c>
      <c r="DQ78" s="170"/>
      <c r="DR78" s="270"/>
      <c r="DS78" s="271" t="s">
        <v>17</v>
      </c>
      <c r="DT78" s="270"/>
      <c r="DU78" s="268" t="str">
        <f t="shared" si="293"/>
        <v>-</v>
      </c>
      <c r="DV78" s="170"/>
      <c r="DW78" s="270"/>
      <c r="DX78" s="271" t="s">
        <v>17</v>
      </c>
      <c r="DY78" s="270"/>
      <c r="DZ78" s="268" t="str">
        <f t="shared" si="294"/>
        <v>-</v>
      </c>
      <c r="EA78" s="166"/>
      <c r="EB78" s="270"/>
      <c r="EC78" s="271" t="s">
        <v>17</v>
      </c>
      <c r="ED78" s="270"/>
      <c r="EE78" s="268" t="str">
        <f t="shared" si="295"/>
        <v>-</v>
      </c>
      <c r="EF78" s="166"/>
      <c r="EG78" s="270"/>
      <c r="EH78" s="271" t="s">
        <v>17</v>
      </c>
      <c r="EI78" s="270"/>
      <c r="EJ78" s="268" t="str">
        <f t="shared" si="296"/>
        <v>-</v>
      </c>
      <c r="EK78" s="166"/>
      <c r="EL78" s="270"/>
      <c r="EM78" s="271" t="s">
        <v>17</v>
      </c>
      <c r="EN78" s="270"/>
      <c r="EO78" s="268" t="str">
        <f t="shared" si="297"/>
        <v>-</v>
      </c>
      <c r="EP78" s="166"/>
      <c r="EQ78" s="270"/>
      <c r="ER78" s="271" t="s">
        <v>17</v>
      </c>
      <c r="ES78" s="270"/>
      <c r="ET78" s="268" t="str">
        <f t="shared" si="298"/>
        <v>-</v>
      </c>
      <c r="EU78" s="166"/>
      <c r="EV78" s="266"/>
      <c r="EW78" s="267" t="s">
        <v>17</v>
      </c>
      <c r="EX78" s="266"/>
      <c r="EY78" s="269" t="str">
        <f t="shared" si="299"/>
        <v>-</v>
      </c>
      <c r="EZ78" s="166"/>
      <c r="FA78" s="8"/>
    </row>
    <row r="79" spans="1:157" ht="17.399999999999999">
      <c r="A79" s="12" t="s">
        <v>115</v>
      </c>
      <c r="B79" s="13"/>
      <c r="C79" s="14" t="s">
        <v>17</v>
      </c>
      <c r="D79" s="13"/>
      <c r="E79" s="12" t="s">
        <v>112</v>
      </c>
      <c r="F79" s="166"/>
      <c r="G79" s="13"/>
      <c r="H79" s="14" t="s">
        <v>17</v>
      </c>
      <c r="I79" s="13"/>
      <c r="J79" s="17" t="str">
        <f t="shared" si="270"/>
        <v>-</v>
      </c>
      <c r="K79" s="220"/>
      <c r="L79" s="13"/>
      <c r="M79" s="14" t="s">
        <v>17</v>
      </c>
      <c r="N79" s="13"/>
      <c r="O79" s="17" t="str">
        <f t="shared" si="271"/>
        <v>-</v>
      </c>
      <c r="P79" s="220"/>
      <c r="Q79" s="13"/>
      <c r="R79" s="14" t="s">
        <v>17</v>
      </c>
      <c r="S79" s="13"/>
      <c r="T79" s="17" t="str">
        <f t="shared" si="272"/>
        <v>-</v>
      </c>
      <c r="U79" s="220"/>
      <c r="V79" s="13"/>
      <c r="W79" s="14" t="s">
        <v>17</v>
      </c>
      <c r="X79" s="13"/>
      <c r="Y79" s="17" t="str">
        <f t="shared" si="273"/>
        <v>-</v>
      </c>
      <c r="Z79" s="220"/>
      <c r="AA79" s="13"/>
      <c r="AB79" s="14" t="s">
        <v>17</v>
      </c>
      <c r="AC79" s="13"/>
      <c r="AD79" s="17" t="str">
        <f t="shared" si="274"/>
        <v>-</v>
      </c>
      <c r="AE79" s="220"/>
      <c r="AF79" s="13"/>
      <c r="AG79" s="14" t="s">
        <v>17</v>
      </c>
      <c r="AH79" s="13"/>
      <c r="AI79" s="17" t="str">
        <f t="shared" si="275"/>
        <v>-</v>
      </c>
      <c r="AJ79" s="220"/>
      <c r="AK79" s="13"/>
      <c r="AL79" s="14" t="s">
        <v>17</v>
      </c>
      <c r="AM79" s="13"/>
      <c r="AN79" s="17" t="str">
        <f t="shared" si="276"/>
        <v>-</v>
      </c>
      <c r="AO79" s="220"/>
      <c r="AP79" s="13"/>
      <c r="AQ79" s="14" t="s">
        <v>17</v>
      </c>
      <c r="AR79" s="13"/>
      <c r="AS79" s="17" t="str">
        <f t="shared" si="277"/>
        <v>-</v>
      </c>
      <c r="AT79" s="220"/>
      <c r="AU79" s="13"/>
      <c r="AV79" s="14" t="s">
        <v>17</v>
      </c>
      <c r="AW79" s="13"/>
      <c r="AX79" s="17" t="str">
        <f t="shared" si="278"/>
        <v>-</v>
      </c>
      <c r="AY79" s="168"/>
      <c r="AZ79" s="13"/>
      <c r="BA79" s="14" t="s">
        <v>17</v>
      </c>
      <c r="BB79" s="13"/>
      <c r="BC79" s="17" t="str">
        <f t="shared" si="279"/>
        <v>-</v>
      </c>
      <c r="BD79" s="169"/>
      <c r="BE79" s="13"/>
      <c r="BF79" s="14" t="s">
        <v>17</v>
      </c>
      <c r="BG79" s="13"/>
      <c r="BH79" s="19" t="str">
        <f t="shared" si="280"/>
        <v>-</v>
      </c>
      <c r="BI79" s="169"/>
      <c r="BJ79" s="13"/>
      <c r="BK79" s="14" t="s">
        <v>17</v>
      </c>
      <c r="BL79" s="13"/>
      <c r="BM79" s="19" t="str">
        <f t="shared" si="281"/>
        <v>-</v>
      </c>
      <c r="BN79" s="169"/>
      <c r="BO79" s="13"/>
      <c r="BP79" s="14" t="s">
        <v>17</v>
      </c>
      <c r="BQ79" s="13"/>
      <c r="BR79" s="19" t="str">
        <f t="shared" si="282"/>
        <v>-</v>
      </c>
      <c r="BS79" s="169"/>
      <c r="BT79" s="13"/>
      <c r="BU79" s="14" t="s">
        <v>17</v>
      </c>
      <c r="BV79" s="13"/>
      <c r="BW79" s="19" t="str">
        <f t="shared" si="283"/>
        <v>-</v>
      </c>
      <c r="BX79" s="166"/>
      <c r="BY79" s="175"/>
      <c r="BZ79" s="16" t="s">
        <v>17</v>
      </c>
      <c r="CA79" s="175"/>
      <c r="CB79" s="17" t="str">
        <f t="shared" si="284"/>
        <v>-</v>
      </c>
      <c r="CC79" s="170"/>
      <c r="CD79" s="175"/>
      <c r="CE79" s="16" t="s">
        <v>17</v>
      </c>
      <c r="CF79" s="175"/>
      <c r="CG79" s="17" t="str">
        <f t="shared" si="285"/>
        <v>-</v>
      </c>
      <c r="CH79" s="170"/>
      <c r="CI79" s="175"/>
      <c r="CJ79" s="16" t="s">
        <v>17</v>
      </c>
      <c r="CK79" s="175"/>
      <c r="CL79" s="17" t="str">
        <f t="shared" si="286"/>
        <v>-</v>
      </c>
      <c r="CM79" s="170"/>
      <c r="CN79" s="175"/>
      <c r="CO79" s="16" t="s">
        <v>17</v>
      </c>
      <c r="CP79" s="175"/>
      <c r="CQ79" s="17" t="str">
        <f t="shared" si="287"/>
        <v>-</v>
      </c>
      <c r="CR79" s="170"/>
      <c r="CS79" s="175"/>
      <c r="CT79" s="16" t="s">
        <v>17</v>
      </c>
      <c r="CU79" s="175"/>
      <c r="CV79" s="17" t="str">
        <f t="shared" si="288"/>
        <v>-</v>
      </c>
      <c r="CW79" s="170"/>
      <c r="CX79" s="175"/>
      <c r="CY79" s="16" t="s">
        <v>17</v>
      </c>
      <c r="CZ79" s="175"/>
      <c r="DA79" s="17" t="str">
        <f t="shared" si="289"/>
        <v>-</v>
      </c>
      <c r="DB79" s="170"/>
      <c r="DC79" s="175"/>
      <c r="DD79" s="16" t="s">
        <v>17</v>
      </c>
      <c r="DE79" s="175"/>
      <c r="DF79" s="17" t="str">
        <f t="shared" si="290"/>
        <v>-</v>
      </c>
      <c r="DG79" s="170"/>
      <c r="DH79" s="175"/>
      <c r="DI79" s="16" t="s">
        <v>17</v>
      </c>
      <c r="DJ79" s="175"/>
      <c r="DK79" s="17" t="str">
        <f t="shared" si="291"/>
        <v>-</v>
      </c>
      <c r="DL79" s="170"/>
      <c r="DM79" s="175"/>
      <c r="DN79" s="16" t="s">
        <v>17</v>
      </c>
      <c r="DO79" s="175"/>
      <c r="DP79" s="17" t="str">
        <f t="shared" si="292"/>
        <v>-</v>
      </c>
      <c r="DQ79" s="170"/>
      <c r="DR79" s="175"/>
      <c r="DS79" s="16" t="s">
        <v>17</v>
      </c>
      <c r="DT79" s="175"/>
      <c r="DU79" s="17" t="str">
        <f t="shared" si="293"/>
        <v>-</v>
      </c>
      <c r="DV79" s="170"/>
      <c r="DW79" s="175"/>
      <c r="DX79" s="16" t="s">
        <v>17</v>
      </c>
      <c r="DY79" s="175"/>
      <c r="DZ79" s="17" t="str">
        <f t="shared" si="294"/>
        <v>-</v>
      </c>
      <c r="EA79" s="166"/>
      <c r="EB79" s="175"/>
      <c r="EC79" s="16" t="s">
        <v>17</v>
      </c>
      <c r="ED79" s="175"/>
      <c r="EE79" s="17" t="str">
        <f t="shared" si="295"/>
        <v>-</v>
      </c>
      <c r="EF79" s="166"/>
      <c r="EG79" s="175"/>
      <c r="EH79" s="16" t="s">
        <v>17</v>
      </c>
      <c r="EI79" s="175"/>
      <c r="EJ79" s="17" t="str">
        <f t="shared" si="296"/>
        <v>-</v>
      </c>
      <c r="EK79" s="166"/>
      <c r="EL79" s="175"/>
      <c r="EM79" s="16" t="s">
        <v>17</v>
      </c>
      <c r="EN79" s="175"/>
      <c r="EO79" s="17" t="str">
        <f t="shared" si="297"/>
        <v>-</v>
      </c>
      <c r="EP79" s="166"/>
      <c r="EQ79" s="175"/>
      <c r="ER79" s="16" t="s">
        <v>17</v>
      </c>
      <c r="ES79" s="175"/>
      <c r="ET79" s="17" t="str">
        <f t="shared" si="298"/>
        <v>-</v>
      </c>
      <c r="EU79" s="166"/>
      <c r="EV79" s="13"/>
      <c r="EW79" s="14" t="s">
        <v>17</v>
      </c>
      <c r="EX79" s="13"/>
      <c r="EY79" s="19" t="str">
        <f t="shared" si="299"/>
        <v>-</v>
      </c>
      <c r="EZ79" s="166"/>
      <c r="FA79" s="8"/>
    </row>
    <row r="80" spans="1:157" ht="17.399999999999999">
      <c r="A80" s="265" t="s">
        <v>113</v>
      </c>
      <c r="B80" s="266"/>
      <c r="C80" s="267" t="s">
        <v>17</v>
      </c>
      <c r="D80" s="266"/>
      <c r="E80" s="265" t="s">
        <v>114</v>
      </c>
      <c r="F80" s="166"/>
      <c r="G80" s="266"/>
      <c r="H80" s="267" t="s">
        <v>17</v>
      </c>
      <c r="I80" s="266"/>
      <c r="J80" s="268" t="str">
        <f t="shared" si="270"/>
        <v>-</v>
      </c>
      <c r="K80" s="220"/>
      <c r="L80" s="266"/>
      <c r="M80" s="267" t="s">
        <v>17</v>
      </c>
      <c r="N80" s="266"/>
      <c r="O80" s="268" t="str">
        <f t="shared" si="271"/>
        <v>-</v>
      </c>
      <c r="P80" s="220"/>
      <c r="Q80" s="266"/>
      <c r="R80" s="267" t="s">
        <v>17</v>
      </c>
      <c r="S80" s="266"/>
      <c r="T80" s="268" t="str">
        <f t="shared" si="272"/>
        <v>-</v>
      </c>
      <c r="U80" s="220"/>
      <c r="V80" s="266"/>
      <c r="W80" s="267" t="s">
        <v>17</v>
      </c>
      <c r="X80" s="266"/>
      <c r="Y80" s="268" t="str">
        <f t="shared" si="273"/>
        <v>-</v>
      </c>
      <c r="Z80" s="220"/>
      <c r="AA80" s="266"/>
      <c r="AB80" s="267" t="s">
        <v>17</v>
      </c>
      <c r="AC80" s="266"/>
      <c r="AD80" s="268" t="str">
        <f t="shared" si="274"/>
        <v>-</v>
      </c>
      <c r="AE80" s="220"/>
      <c r="AF80" s="266"/>
      <c r="AG80" s="267" t="s">
        <v>17</v>
      </c>
      <c r="AH80" s="266"/>
      <c r="AI80" s="268" t="str">
        <f t="shared" si="275"/>
        <v>-</v>
      </c>
      <c r="AJ80" s="220"/>
      <c r="AK80" s="266"/>
      <c r="AL80" s="267" t="s">
        <v>17</v>
      </c>
      <c r="AM80" s="266"/>
      <c r="AN80" s="268" t="str">
        <f t="shared" si="276"/>
        <v>-</v>
      </c>
      <c r="AO80" s="220"/>
      <c r="AP80" s="266"/>
      <c r="AQ80" s="267" t="s">
        <v>17</v>
      </c>
      <c r="AR80" s="266"/>
      <c r="AS80" s="268" t="str">
        <f t="shared" si="277"/>
        <v>-</v>
      </c>
      <c r="AT80" s="220"/>
      <c r="AU80" s="266"/>
      <c r="AV80" s="267" t="s">
        <v>17</v>
      </c>
      <c r="AW80" s="266"/>
      <c r="AX80" s="268" t="str">
        <f t="shared" si="278"/>
        <v>-</v>
      </c>
      <c r="AY80" s="168"/>
      <c r="AZ80" s="266"/>
      <c r="BA80" s="267" t="s">
        <v>17</v>
      </c>
      <c r="BB80" s="266"/>
      <c r="BC80" s="268" t="str">
        <f t="shared" si="279"/>
        <v>-</v>
      </c>
      <c r="BD80" s="169"/>
      <c r="BE80" s="266"/>
      <c r="BF80" s="267" t="s">
        <v>17</v>
      </c>
      <c r="BG80" s="266"/>
      <c r="BH80" s="269" t="str">
        <f t="shared" si="280"/>
        <v>-</v>
      </c>
      <c r="BI80" s="169"/>
      <c r="BJ80" s="266"/>
      <c r="BK80" s="267" t="s">
        <v>17</v>
      </c>
      <c r="BL80" s="266"/>
      <c r="BM80" s="269" t="str">
        <f t="shared" si="281"/>
        <v>-</v>
      </c>
      <c r="BN80" s="169"/>
      <c r="BO80" s="266"/>
      <c r="BP80" s="267" t="s">
        <v>17</v>
      </c>
      <c r="BQ80" s="266"/>
      <c r="BR80" s="269" t="str">
        <f t="shared" si="282"/>
        <v>-</v>
      </c>
      <c r="BS80" s="169"/>
      <c r="BT80" s="266"/>
      <c r="BU80" s="267" t="s">
        <v>17</v>
      </c>
      <c r="BV80" s="266"/>
      <c r="BW80" s="269" t="str">
        <f t="shared" si="283"/>
        <v>-</v>
      </c>
      <c r="BX80" s="166"/>
      <c r="BY80" s="270"/>
      <c r="BZ80" s="271" t="s">
        <v>17</v>
      </c>
      <c r="CA80" s="270"/>
      <c r="CB80" s="268" t="str">
        <f t="shared" si="284"/>
        <v>-</v>
      </c>
      <c r="CC80" s="170"/>
      <c r="CD80" s="270"/>
      <c r="CE80" s="271" t="s">
        <v>17</v>
      </c>
      <c r="CF80" s="270"/>
      <c r="CG80" s="268" t="str">
        <f t="shared" si="285"/>
        <v>-</v>
      </c>
      <c r="CH80" s="170"/>
      <c r="CI80" s="270"/>
      <c r="CJ80" s="271" t="s">
        <v>17</v>
      </c>
      <c r="CK80" s="270"/>
      <c r="CL80" s="268" t="str">
        <f t="shared" si="286"/>
        <v>-</v>
      </c>
      <c r="CM80" s="170"/>
      <c r="CN80" s="270"/>
      <c r="CO80" s="271" t="s">
        <v>17</v>
      </c>
      <c r="CP80" s="270"/>
      <c r="CQ80" s="268" t="str">
        <f t="shared" si="287"/>
        <v>-</v>
      </c>
      <c r="CR80" s="170"/>
      <c r="CS80" s="270"/>
      <c r="CT80" s="271" t="s">
        <v>17</v>
      </c>
      <c r="CU80" s="270"/>
      <c r="CV80" s="268" t="str">
        <f t="shared" si="288"/>
        <v>-</v>
      </c>
      <c r="CW80" s="170"/>
      <c r="CX80" s="270"/>
      <c r="CY80" s="271" t="s">
        <v>17</v>
      </c>
      <c r="CZ80" s="270"/>
      <c r="DA80" s="268" t="str">
        <f t="shared" si="289"/>
        <v>-</v>
      </c>
      <c r="DB80" s="170"/>
      <c r="DC80" s="270"/>
      <c r="DD80" s="271" t="s">
        <v>17</v>
      </c>
      <c r="DE80" s="270"/>
      <c r="DF80" s="268" t="str">
        <f t="shared" si="290"/>
        <v>-</v>
      </c>
      <c r="DG80" s="170"/>
      <c r="DH80" s="270"/>
      <c r="DI80" s="271" t="s">
        <v>17</v>
      </c>
      <c r="DJ80" s="270"/>
      <c r="DK80" s="268" t="str">
        <f t="shared" si="291"/>
        <v>-</v>
      </c>
      <c r="DL80" s="170"/>
      <c r="DM80" s="270"/>
      <c r="DN80" s="271" t="s">
        <v>17</v>
      </c>
      <c r="DO80" s="270"/>
      <c r="DP80" s="268" t="str">
        <f t="shared" si="292"/>
        <v>-</v>
      </c>
      <c r="DQ80" s="170"/>
      <c r="DR80" s="270"/>
      <c r="DS80" s="271" t="s">
        <v>17</v>
      </c>
      <c r="DT80" s="270"/>
      <c r="DU80" s="268" t="str">
        <f t="shared" si="293"/>
        <v>-</v>
      </c>
      <c r="DV80" s="170"/>
      <c r="DW80" s="270"/>
      <c r="DX80" s="271" t="s">
        <v>17</v>
      </c>
      <c r="DY80" s="270"/>
      <c r="DZ80" s="268" t="str">
        <f t="shared" si="294"/>
        <v>-</v>
      </c>
      <c r="EA80" s="166"/>
      <c r="EB80" s="270"/>
      <c r="EC80" s="271" t="s">
        <v>17</v>
      </c>
      <c r="ED80" s="270"/>
      <c r="EE80" s="268" t="str">
        <f t="shared" si="295"/>
        <v>-</v>
      </c>
      <c r="EF80" s="166"/>
      <c r="EG80" s="270"/>
      <c r="EH80" s="271" t="s">
        <v>17</v>
      </c>
      <c r="EI80" s="270"/>
      <c r="EJ80" s="268" t="str">
        <f t="shared" si="296"/>
        <v>-</v>
      </c>
      <c r="EK80" s="166"/>
      <c r="EL80" s="270"/>
      <c r="EM80" s="271" t="s">
        <v>17</v>
      </c>
      <c r="EN80" s="270"/>
      <c r="EO80" s="268" t="str">
        <f t="shared" si="297"/>
        <v>-</v>
      </c>
      <c r="EP80" s="166"/>
      <c r="EQ80" s="270"/>
      <c r="ER80" s="271" t="s">
        <v>17</v>
      </c>
      <c r="ES80" s="270"/>
      <c r="ET80" s="268" t="str">
        <f t="shared" si="298"/>
        <v>-</v>
      </c>
      <c r="EU80" s="166"/>
      <c r="EV80" s="266"/>
      <c r="EW80" s="267" t="s">
        <v>17</v>
      </c>
      <c r="EX80" s="266"/>
      <c r="EY80" s="269" t="str">
        <f t="shared" si="299"/>
        <v>-</v>
      </c>
      <c r="EZ80" s="166"/>
      <c r="FA80" s="8"/>
    </row>
    <row r="81" spans="1:157" ht="17.399999999999999">
      <c r="A81" s="272"/>
      <c r="B81" s="272"/>
      <c r="C81" s="273"/>
      <c r="D81" s="272"/>
      <c r="E81" s="272"/>
      <c r="F81" s="166"/>
      <c r="G81" s="334">
        <f>SUM(J75:J80)</f>
        <v>0</v>
      </c>
      <c r="H81" s="301"/>
      <c r="I81" s="301"/>
      <c r="J81" s="179"/>
      <c r="K81" s="180"/>
      <c r="L81" s="334">
        <f>SUM(O75:O80)</f>
        <v>0</v>
      </c>
      <c r="M81" s="301"/>
      <c r="N81" s="301"/>
      <c r="O81" s="179"/>
      <c r="P81" s="180"/>
      <c r="Q81" s="334">
        <f>SUM(T75:T80)</f>
        <v>0</v>
      </c>
      <c r="R81" s="301"/>
      <c r="S81" s="301"/>
      <c r="T81" s="179"/>
      <c r="U81" s="180"/>
      <c r="V81" s="334">
        <f>SUM(Y75:Y80)</f>
        <v>0</v>
      </c>
      <c r="W81" s="301"/>
      <c r="X81" s="301"/>
      <c r="Y81" s="179"/>
      <c r="Z81" s="180"/>
      <c r="AA81" s="334">
        <f>SUM(AD75:AD80)</f>
        <v>0</v>
      </c>
      <c r="AB81" s="301"/>
      <c r="AC81" s="301"/>
      <c r="AD81" s="179"/>
      <c r="AE81" s="180"/>
      <c r="AF81" s="334">
        <f>SUM(AI75:AI80)</f>
        <v>0</v>
      </c>
      <c r="AG81" s="301"/>
      <c r="AH81" s="301"/>
      <c r="AI81" s="179"/>
      <c r="AJ81" s="180"/>
      <c r="AK81" s="334">
        <f>SUM(AN75:AN80)</f>
        <v>0</v>
      </c>
      <c r="AL81" s="301"/>
      <c r="AM81" s="301"/>
      <c r="AN81" s="179"/>
      <c r="AO81" s="180"/>
      <c r="AP81" s="334">
        <f>SUM(AS75:AS80)</f>
        <v>0</v>
      </c>
      <c r="AQ81" s="301"/>
      <c r="AR81" s="301"/>
      <c r="AS81" s="181"/>
      <c r="AT81" s="180"/>
      <c r="AU81" s="334">
        <f>SUM(AX75:AX80)</f>
        <v>0</v>
      </c>
      <c r="AV81" s="301"/>
      <c r="AW81" s="301"/>
      <c r="AX81" s="182"/>
      <c r="AY81" s="168"/>
      <c r="AZ81" s="334">
        <f>SUM(BC75:BC80)</f>
        <v>0</v>
      </c>
      <c r="BA81" s="301"/>
      <c r="BB81" s="301"/>
      <c r="BC81" s="182"/>
      <c r="BD81" s="169"/>
      <c r="BE81" s="334">
        <f>SUM(BH75:BH80)</f>
        <v>0</v>
      </c>
      <c r="BF81" s="301"/>
      <c r="BG81" s="301"/>
      <c r="BH81" s="182"/>
      <c r="BI81" s="169"/>
      <c r="BJ81" s="334">
        <f>SUM(BM75:BM80)</f>
        <v>0</v>
      </c>
      <c r="BK81" s="301"/>
      <c r="BL81" s="301"/>
      <c r="BM81" s="182"/>
      <c r="BN81" s="169"/>
      <c r="BO81" s="334">
        <f>SUM(BR75:BR80)</f>
        <v>0</v>
      </c>
      <c r="BP81" s="301"/>
      <c r="BQ81" s="301"/>
      <c r="BR81" s="182"/>
      <c r="BS81" s="169"/>
      <c r="BT81" s="334">
        <f>SUM(BW75:BW80)</f>
        <v>0</v>
      </c>
      <c r="BU81" s="301"/>
      <c r="BV81" s="301"/>
      <c r="BW81" s="182"/>
      <c r="BX81" s="166"/>
      <c r="BY81" s="334">
        <f>SUM(CB75:CB80)</f>
        <v>0</v>
      </c>
      <c r="BZ81" s="301"/>
      <c r="CA81" s="301"/>
      <c r="CB81" s="182"/>
      <c r="CC81" s="183"/>
      <c r="CD81" s="334">
        <f>SUM(CG75:CG80)</f>
        <v>0</v>
      </c>
      <c r="CE81" s="301"/>
      <c r="CF81" s="301"/>
      <c r="CG81" s="182"/>
      <c r="CH81" s="183"/>
      <c r="CI81" s="334">
        <f>SUM(CL75:CL80)</f>
        <v>0</v>
      </c>
      <c r="CJ81" s="301"/>
      <c r="CK81" s="301"/>
      <c r="CL81" s="182"/>
      <c r="CM81" s="183"/>
      <c r="CN81" s="334">
        <f>SUM(CQ75:CQ80)</f>
        <v>0</v>
      </c>
      <c r="CO81" s="301"/>
      <c r="CP81" s="301"/>
      <c r="CQ81" s="182"/>
      <c r="CR81" s="183"/>
      <c r="CS81" s="334">
        <f>SUM(CV75:CV80)</f>
        <v>0</v>
      </c>
      <c r="CT81" s="301"/>
      <c r="CU81" s="301"/>
      <c r="CV81" s="182"/>
      <c r="CW81" s="183"/>
      <c r="CX81" s="334">
        <f>SUM(DA75:DA80)</f>
        <v>0</v>
      </c>
      <c r="CY81" s="301"/>
      <c r="CZ81" s="301"/>
      <c r="DA81" s="182"/>
      <c r="DB81" s="183"/>
      <c r="DC81" s="334">
        <f>SUM(DF75:DF80)</f>
        <v>0</v>
      </c>
      <c r="DD81" s="301"/>
      <c r="DE81" s="301"/>
      <c r="DF81" s="182"/>
      <c r="DG81" s="183"/>
      <c r="DH81" s="334">
        <f>SUM(DK75:DK80)</f>
        <v>0</v>
      </c>
      <c r="DI81" s="301"/>
      <c r="DJ81" s="301"/>
      <c r="DK81" s="182"/>
      <c r="DL81" s="183"/>
      <c r="DM81" s="334">
        <f>SUM(DP75:DP80)</f>
        <v>0</v>
      </c>
      <c r="DN81" s="301"/>
      <c r="DO81" s="301"/>
      <c r="DP81" s="182"/>
      <c r="DQ81" s="183"/>
      <c r="DR81" s="334">
        <f>SUM(DU75:DU80)</f>
        <v>0</v>
      </c>
      <c r="DS81" s="301"/>
      <c r="DT81" s="301"/>
      <c r="DU81" s="182"/>
      <c r="DV81" s="183"/>
      <c r="DW81" s="334">
        <f>SUM(DZ75:DZ80)</f>
        <v>0</v>
      </c>
      <c r="DX81" s="301"/>
      <c r="DY81" s="301"/>
      <c r="DZ81" s="182"/>
      <c r="EA81" s="166"/>
      <c r="EB81" s="334">
        <f>SUM(EE75:EE80)</f>
        <v>0</v>
      </c>
      <c r="EC81" s="301"/>
      <c r="ED81" s="301"/>
      <c r="EE81" s="182"/>
      <c r="EF81" s="166"/>
      <c r="EG81" s="334">
        <f>SUM(EJ75:EJ80)</f>
        <v>0</v>
      </c>
      <c r="EH81" s="301"/>
      <c r="EI81" s="301"/>
      <c r="EJ81" s="182"/>
      <c r="EK81" s="166"/>
      <c r="EL81" s="334">
        <f>SUM(EO75:EO80)</f>
        <v>0</v>
      </c>
      <c r="EM81" s="301"/>
      <c r="EN81" s="301"/>
      <c r="EO81" s="182"/>
      <c r="EP81" s="166"/>
      <c r="EQ81" s="334">
        <f>SUM(ET75:ET80)</f>
        <v>0</v>
      </c>
      <c r="ER81" s="301"/>
      <c r="ES81" s="301"/>
      <c r="ET81" s="182"/>
      <c r="EU81" s="166"/>
      <c r="EV81" s="334">
        <f>SUM(EY75:EY80)</f>
        <v>0</v>
      </c>
      <c r="EW81" s="301"/>
      <c r="EX81" s="301"/>
      <c r="EY81" s="182"/>
      <c r="EZ81" s="166"/>
      <c r="FA81" s="8"/>
    </row>
    <row r="82" spans="1:157" ht="17.399999999999999">
      <c r="A82" s="303" t="s">
        <v>116</v>
      </c>
      <c r="B82" s="301"/>
      <c r="C82" s="301"/>
      <c r="D82" s="301"/>
      <c r="E82" s="301"/>
      <c r="F82" s="166"/>
      <c r="G82" s="130"/>
      <c r="H82" s="130"/>
      <c r="I82" s="130"/>
      <c r="J82" s="127"/>
      <c r="K82" s="216"/>
      <c r="L82" s="130"/>
      <c r="M82" s="130"/>
      <c r="N82" s="130"/>
      <c r="O82" s="127"/>
      <c r="P82" s="216"/>
      <c r="Q82" s="130"/>
      <c r="R82" s="130"/>
      <c r="S82" s="130"/>
      <c r="T82" s="127"/>
      <c r="U82" s="216"/>
      <c r="V82" s="130"/>
      <c r="W82" s="130"/>
      <c r="X82" s="130"/>
      <c r="Y82" s="127"/>
      <c r="Z82" s="216"/>
      <c r="AA82" s="130"/>
      <c r="AB82" s="130"/>
      <c r="AC82" s="130"/>
      <c r="AD82" s="127"/>
      <c r="AE82" s="216"/>
      <c r="AF82" s="130"/>
      <c r="AG82" s="130"/>
      <c r="AH82" s="130"/>
      <c r="AI82" s="127"/>
      <c r="AJ82" s="216"/>
      <c r="AK82" s="130"/>
      <c r="AL82" s="130"/>
      <c r="AM82" s="130"/>
      <c r="AN82" s="127"/>
      <c r="AO82" s="216"/>
      <c r="AP82" s="130"/>
      <c r="AQ82" s="130"/>
      <c r="AR82" s="130"/>
      <c r="AS82" s="127"/>
      <c r="AT82" s="181"/>
      <c r="AU82" s="274"/>
      <c r="AV82" s="274"/>
      <c r="AW82" s="274"/>
      <c r="AX82" s="127"/>
      <c r="AY82" s="168"/>
      <c r="AZ82" s="130"/>
      <c r="BA82" s="130"/>
      <c r="BB82" s="130"/>
      <c r="BC82" s="127"/>
      <c r="BD82" s="169"/>
      <c r="BE82" s="130"/>
      <c r="BF82" s="130"/>
      <c r="BG82" s="130"/>
      <c r="BH82" s="130"/>
      <c r="BI82" s="169"/>
      <c r="BJ82" s="130"/>
      <c r="BK82" s="130"/>
      <c r="BL82" s="130"/>
      <c r="BM82" s="130"/>
      <c r="BN82" s="169"/>
      <c r="BO82" s="130"/>
      <c r="BP82" s="130"/>
      <c r="BQ82" s="130"/>
      <c r="BR82" s="130"/>
      <c r="BS82" s="169"/>
      <c r="BT82" s="130"/>
      <c r="BU82" s="130"/>
      <c r="BV82" s="130"/>
      <c r="BW82" s="130"/>
      <c r="BX82" s="166"/>
      <c r="BY82" s="275"/>
      <c r="BZ82" s="275"/>
      <c r="CA82" s="275"/>
      <c r="CB82" s="276"/>
      <c r="CC82" s="183"/>
      <c r="CD82" s="275"/>
      <c r="CE82" s="275"/>
      <c r="CF82" s="275"/>
      <c r="CG82" s="276"/>
      <c r="CH82" s="183"/>
      <c r="CI82" s="275"/>
      <c r="CJ82" s="275"/>
      <c r="CK82" s="275"/>
      <c r="CL82" s="276"/>
      <c r="CM82" s="183"/>
      <c r="CN82" s="275"/>
      <c r="CO82" s="275"/>
      <c r="CP82" s="275"/>
      <c r="CQ82" s="276"/>
      <c r="CR82" s="183"/>
      <c r="CS82" s="275"/>
      <c r="CT82" s="275"/>
      <c r="CU82" s="275"/>
      <c r="CV82" s="276"/>
      <c r="CW82" s="183"/>
      <c r="CX82" s="275"/>
      <c r="CY82" s="275"/>
      <c r="CZ82" s="275"/>
      <c r="DA82" s="275"/>
      <c r="DB82" s="183"/>
      <c r="DC82" s="275"/>
      <c r="DD82" s="275"/>
      <c r="DE82" s="275"/>
      <c r="DF82" s="276"/>
      <c r="DG82" s="183"/>
      <c r="DH82" s="275"/>
      <c r="DI82" s="275"/>
      <c r="DJ82" s="275"/>
      <c r="DK82" s="275"/>
      <c r="DL82" s="183"/>
      <c r="DM82" s="275"/>
      <c r="DN82" s="275"/>
      <c r="DO82" s="275"/>
      <c r="DP82" s="124"/>
      <c r="DQ82" s="183"/>
      <c r="DR82" s="275"/>
      <c r="DS82" s="275"/>
      <c r="DT82" s="275"/>
      <c r="DU82" s="124"/>
      <c r="DV82" s="183"/>
      <c r="DW82" s="275"/>
      <c r="DX82" s="275"/>
      <c r="DY82" s="275"/>
      <c r="DZ82" s="124"/>
      <c r="EA82" s="166"/>
      <c r="EB82" s="275"/>
      <c r="EC82" s="275"/>
      <c r="ED82" s="275"/>
      <c r="EE82" s="130"/>
      <c r="EF82" s="166"/>
      <c r="EG82" s="275"/>
      <c r="EH82" s="275"/>
      <c r="EI82" s="275"/>
      <c r="EJ82" s="124"/>
      <c r="EK82" s="166"/>
      <c r="EL82" s="275"/>
      <c r="EM82" s="275"/>
      <c r="EN82" s="275"/>
      <c r="EO82" s="124"/>
      <c r="EP82" s="166"/>
      <c r="EQ82" s="275"/>
      <c r="ER82" s="275"/>
      <c r="ES82" s="275"/>
      <c r="ET82" s="124"/>
      <c r="EU82" s="166"/>
      <c r="EV82" s="130"/>
      <c r="EW82" s="130"/>
      <c r="EX82" s="130"/>
      <c r="EY82" s="130"/>
      <c r="EZ82" s="166"/>
      <c r="FA82" s="8"/>
    </row>
    <row r="83" spans="1:157" ht="17.399999999999999">
      <c r="A83" s="12" t="s">
        <v>117</v>
      </c>
      <c r="B83" s="13"/>
      <c r="C83" s="14" t="s">
        <v>17</v>
      </c>
      <c r="D83" s="13"/>
      <c r="E83" s="12" t="s">
        <v>118</v>
      </c>
      <c r="F83" s="166"/>
      <c r="G83" s="13"/>
      <c r="H83" s="14" t="s">
        <v>17</v>
      </c>
      <c r="I83" s="13"/>
      <c r="J83" s="17" t="str">
        <f t="shared" ref="J83:J88" si="300">IF(OR(B83="", D83=""), "-",
  IF(OR(G83="", I83=""), 0,
    IF(AND(G83=B83, I83=D83), 10,
      IF(AND(OR(AND(B83&gt;D83, G83&gt;I83), AND(B83&lt;D83, G83&lt;I83), AND(B83=D83, G83=I83)), OR(G83=B83, I83=D83)), 7,
        IF(OR(AND(B83&gt;D83, G83&gt;I83), AND(B83&lt;D83, G83&lt;I83), AND(B83=D83, G83=I83)), 5,
          IF(OR(G83=B83, I83=D83), 2, 0)
        )
      )
    )
  )
)</f>
        <v>-</v>
      </c>
      <c r="K83" s="220"/>
      <c r="L83" s="13"/>
      <c r="M83" s="14" t="s">
        <v>17</v>
      </c>
      <c r="N83" s="13"/>
      <c r="O83" s="17" t="str">
        <f t="shared" ref="O83:O88" si="301">IF(OR(B83="", D83=""), "-",
  IF(OR(L83="", N83=""), 0,
    IF(AND(L83=B83, N83=D83), 10,
      IF(AND(OR(AND(B83&gt;D83, L83&gt;N83), AND(B83&lt;D83, L83&lt;N83), AND(B83=D83, L83=N83)), OR(L83=B83, N83=D83)), 7,
        IF(OR(AND(B83&gt;D83, L83&gt;N83), AND(B83&lt;D83, L83&lt;N83), AND(B83=D83, L83=N83)), 5,
          IF(OR(L83=B83, N83=D83), 2, 0)
        )
      )
    )
  )
)</f>
        <v>-</v>
      </c>
      <c r="P83" s="220"/>
      <c r="Q83" s="13"/>
      <c r="R83" s="14" t="s">
        <v>17</v>
      </c>
      <c r="S83" s="13"/>
      <c r="T83" s="17" t="str">
        <f t="shared" ref="T83:T88" si="302">IF(OR(B83="", D83=""), "-",
  IF(OR(Q83="", S83=""), 0,
    IF(AND(Q83=B83, S83=D83), 10,
      IF(AND(OR(AND(B83&gt;D83, Q83&gt;S83), AND(B83&lt;D83, Q83&lt;S83), AND(B83=D83, Q83=S83)), OR(Q83=B83, S83=D83)), 7,
        IF(OR(AND(B83&gt;D83, Q83&gt;S83), AND(B83&lt;D83, Q83&lt;S83), AND(B83=D83, Q83=S83)), 5,
          IF(OR(Q83=B83, S83=D83), 2, 0)
        )
      )
    )
  )
)</f>
        <v>-</v>
      </c>
      <c r="U83" s="220"/>
      <c r="V83" s="13"/>
      <c r="W83" s="14" t="s">
        <v>17</v>
      </c>
      <c r="X83" s="13"/>
      <c r="Y83" s="17" t="str">
        <f t="shared" ref="Y83:Y88" si="303">IF(OR(B83="", D83=""), "-",
  IF(OR(V83="", X83=""), 0,
    IF(AND(V83=B83, X83=D83), 10,
      IF(AND(OR(AND(B83&gt;D83, V83&gt;X83), AND(B83&lt;D83, V83&lt;X83), AND(B83=D83, V83=X83)), OR(V83=B83, X83=D83)), 7,
        IF(OR(AND(B83&gt;D83, V83&gt;X83), AND(B83&lt;D83, V83&lt;X83), AND(B83=D83, V83=X83)), 5,
          IF(OR(V83=B83, X83=D83), 2, 0)
        )
      )
    )
  )
)</f>
        <v>-</v>
      </c>
      <c r="Z83" s="220"/>
      <c r="AA83" s="13"/>
      <c r="AB83" s="14" t="s">
        <v>17</v>
      </c>
      <c r="AC83" s="13"/>
      <c r="AD83" s="17" t="str">
        <f t="shared" ref="AD83:AD88" si="304">IF(OR(B83="", D83=""), "-",
  IF(OR(AA83="", AC83=""), 0,
    IF(AND(AA83=B83, AC83=D83), 10,
      IF(AND(OR(AND(B83&gt;D83, AA83&gt;AC83), AND(B83&lt;D83, AA83&lt;AC83), AND(B83=D83, AA83=AC83)), OR(AA83=B83, AC83=D83)), 7,
        IF(OR(AND(B83&gt;D83, AA83&gt;AC83), AND(B83&lt;D83, AA83&lt;AC83), AND(B83=D83, AA83=AC83)), 5,
          IF(OR(AA83=B83, AC83=D83), 2, 0)
        )
      )
    )
  )
)</f>
        <v>-</v>
      </c>
      <c r="AE83" s="220"/>
      <c r="AF83" s="13"/>
      <c r="AG83" s="14" t="s">
        <v>17</v>
      </c>
      <c r="AH83" s="13"/>
      <c r="AI83" s="17" t="str">
        <f t="shared" ref="AI83:AI88" si="305">IF(OR(B83="", D83=""), "-",
  IF(OR(AF83="", AH83=""), 0,
    IF(AND(AF83=B83, AH83=D83), 10,
      IF(AND(OR(AND(B83&gt;D83, AF83&gt;AH83), AND(B83&lt;D83, AF83&lt;AH83), AND(B83=D83, AF83=AH83)), OR(AF83=B83, AH83=D83)), 7,
        IF(OR(AND(B83&gt;D83, AF83&gt;AH83), AND(B83&lt;D83, AF83&lt;AH83), AND(B83=D83, AF83=AH83)), 5,
          IF(OR(AF83=B83, AH83=D83), 2, 0)
        )
      )
    )
  )
)</f>
        <v>-</v>
      </c>
      <c r="AJ83" s="220"/>
      <c r="AK83" s="13"/>
      <c r="AL83" s="14" t="s">
        <v>17</v>
      </c>
      <c r="AM83" s="13"/>
      <c r="AN83" s="17" t="str">
        <f t="shared" ref="AN83:AN88" si="306">IF(OR(B83="", D83=""), "-",
  IF(OR(AK83="", AM83=""), 0,
    IF(AND(AK83=B83, AM83=D83), 10,
      IF(AND(OR(AND(B83&gt;D83, AK83&gt;AM83), AND(B83&lt;D83, AK83&lt;AM83), AND(B83=D83, AK83=AM83)), OR(AK83=B83, AM83=D83)), 7,
        IF(OR(AND(B83&gt;D83, AK83&gt;AM83), AND(B83&lt;D83, AK83&lt;AM83), AND(B83=D83, AK83=AM83)), 5,
          IF(OR(AK83=B83, AM83=D83), 2, 0)
        )
      )
    )
  )
)</f>
        <v>-</v>
      </c>
      <c r="AO83" s="220"/>
      <c r="AP83" s="13"/>
      <c r="AQ83" s="14" t="s">
        <v>17</v>
      </c>
      <c r="AR83" s="13"/>
      <c r="AS83" s="17" t="str">
        <f t="shared" ref="AS83:AS88" si="307">IF(OR(B83="", D83=""), "-",
  IF(OR(AP83="", AR83=""), 0,
    IF(AND(AP83=B83, AR83=D83), 10,
      IF(AND(OR(AND(B83&gt;D83, AP83&gt;AR83), AND(B83&lt;D83, AP83&lt;AR83), AND(B83=D83, AP83=AR83)), OR(AP83=B83, AR83=D83)), 7,
        IF(OR(AND(B83&gt;D83, AP83&gt;AR83), AND(B83&lt;D83, AP83&lt;AR83), AND(B83=D83, AP83=AR83)), 5,
          IF(OR(AP83=B83, AR83=D83), 2, 0)
        )
      )
    )
  )
)</f>
        <v>-</v>
      </c>
      <c r="AT83" s="220"/>
      <c r="AU83" s="13"/>
      <c r="AV83" s="14" t="s">
        <v>17</v>
      </c>
      <c r="AW83" s="13"/>
      <c r="AX83" s="17" t="str">
        <f t="shared" ref="AX83:AX88" si="308">IF(OR(B83="", D83=""), "-",
  IF(OR(AU83="", AW83=""), 0,
    IF(AND(AU83=B83, AW83=D83), 10,
      IF(AND(OR(AND(B83&gt;D83, AU83&gt;AW83), AND(B83&lt;D83, AU83&lt;AW83), AND(B83=D83, AU83=AW83)), OR(AU83=B83, AW83=D83)), 7,
        IF(OR(AND(B83&gt;D83, AU83&gt;AW83), AND(B83&lt;D83, AU83&lt;AW83), AND(B83=D83, AU83=AW83)), 5,
          IF(OR(AU83=B83, AW83=D83), 2, 0)
        )
      )
    )
  )
)</f>
        <v>-</v>
      </c>
      <c r="AY83" s="168"/>
      <c r="AZ83" s="13"/>
      <c r="BA83" s="14" t="s">
        <v>17</v>
      </c>
      <c r="BB83" s="13"/>
      <c r="BC83" s="17" t="str">
        <f t="shared" ref="BC83:BC88" si="309">IF(OR(B83="", D83=""), "-",
  IF(OR(AZ83="", BB83=""), 0,
    IF(AND(AZ83=B83, BB83=D83), 10,
      IF(AND(OR(AND(B83&gt;D83, AZ83&gt;BB83), AND(B83&lt;D83, AZ83&lt;BB83), AND(B83=D83, AZ83=BB83)), OR(AZ83=B83, BB83=D83)), 7,
        IF(OR(AND(B83&gt;D83, AZ83&gt;BB83), AND(B83&lt;D83, AZ83&lt;BB83), AND(B83=D83, AZ83=BB83)), 5,
          IF(OR(AZ83=B83, BB83=D83), 2, 0)
        )
      )
    )
  )
)</f>
        <v>-</v>
      </c>
      <c r="BD83" s="169"/>
      <c r="BE83" s="13"/>
      <c r="BF83" s="14" t="s">
        <v>17</v>
      </c>
      <c r="BG83" s="13"/>
      <c r="BH83" s="19" t="str">
        <f t="shared" ref="BH83:BH88" si="310">IF(OR(B83="", D83=""), "-",
  IF(OR(BE83="", BG83=""), 0,
    IF(AND(BE83=B83, BG83=D83), 10,
      IF(AND(OR(AND(B83&gt;D83, BE83&gt;BG83), AND(B83&lt;D83, BE83&lt;BG83), AND(B83=D83, BE83=BG83)), OR(BE83=B83, BG83=D83)), 7,
        IF(OR(AND(B83&gt;D83, BE83&gt;BG83), AND(B83&lt;D83, BE83&lt;BG83), AND(B83=D83, BE83=BG83)), 5,
          IF(OR(BE83=B83, BG83=D83), 2, 0)
        )
      )
    )
  )
)</f>
        <v>-</v>
      </c>
      <c r="BI83" s="169"/>
      <c r="BJ83" s="13"/>
      <c r="BK83" s="14" t="s">
        <v>17</v>
      </c>
      <c r="BL83" s="13"/>
      <c r="BM83" s="19" t="str">
        <f t="shared" ref="BM83:BM88" si="311">IF(OR(B83="", D83=""), "-",
  IF(OR(BJ83="", BL83=""), 0,
    IF(AND(BJ83=B83, BL83=D83), 10,
      IF(AND(OR(AND(B83&gt;D83, BJ83&gt;BL83), AND(B83&lt;D83, BJ83&lt;BL83), AND(B83=D83, BJ83=BL83)), OR(BJ83=B83, BL83=D83)), 7,
        IF(OR(AND(B83&gt;D83, BJ83&gt;BL83), AND(B83&lt;D83, BJ83&lt;BL83), AND(B83=D83, BJ83=BL83)), 5,
          IF(OR(BJ83=B83, BL83=D83), 2, 0)
        )
      )
    )
  )
)</f>
        <v>-</v>
      </c>
      <c r="BN83" s="169"/>
      <c r="BO83" s="13"/>
      <c r="BP83" s="14" t="s">
        <v>17</v>
      </c>
      <c r="BQ83" s="13"/>
      <c r="BR83" s="19" t="str">
        <f t="shared" ref="BR83:BR88" si="312">IF(OR(B83="", D83=""), "-",
  IF(OR(BO83="", BQ83=""), 0,
    IF(AND(BO83=B83, BQ83=D83), 10,
      IF(AND(OR(AND(B83&gt;D83, BO83&gt;BQ83), AND(B83&lt;D83, BO83&lt;BQ83), AND(B83=D83, BO83=BQ83)), OR(BO83=B83, BQ83=D83)), 7,
        IF(OR(AND(B83&gt;D83, BO83&gt;BQ83), AND(B83&lt;D83, BO83&lt;BQ83), AND(B83=D83, BO83=BQ83)), 5,
          IF(OR(BO83=B83, BQ83=D83), 2, 0)
        )
      )
    )
  )
)</f>
        <v>-</v>
      </c>
      <c r="BS83" s="169"/>
      <c r="BT83" s="13"/>
      <c r="BU83" s="14" t="s">
        <v>17</v>
      </c>
      <c r="BV83" s="13"/>
      <c r="BW83" s="19" t="str">
        <f t="shared" ref="BW83:BW88" si="313">IF(OR(B83="", D83=""), "-",
  IF(OR(BT83="", BV83=""), 0,
    IF(AND(BT83=B83, BV83=D83), 10,
      IF(AND(OR(AND(B83&gt;D83, BT83&gt;BV83), AND(B83&lt;D83, BT83&lt;BV83), AND(B83=D83, BT83=BV83)), OR(BT83=B83, BV83=D83)), 7,
        IF(OR(AND(B83&gt;D83, BT83&gt;BV83), AND(B83&lt;D83, BT83&lt;BV83), AND(B83=D83, BT83=BV83)), 5,
          IF(OR(BT83=B83, BV83=D83), 2, 0)
        )
      )
    )
  )
)</f>
        <v>-</v>
      </c>
      <c r="BX83" s="166"/>
      <c r="BY83" s="175"/>
      <c r="BZ83" s="16" t="s">
        <v>17</v>
      </c>
      <c r="CA83" s="175"/>
      <c r="CB83" s="17" t="str">
        <f t="shared" ref="CB83:CB88" si="314">IF(OR(B83="", D83=""), "-",
  IF(OR(BY83="", CA83=""), 0,
    IF(AND(BY83=B83, CA83=D83), 10,
      IF(AND(OR(AND(B83&gt;D83, BY83&gt;CA83), AND(B83&lt;D83, BY83&lt;CA83), AND(B83=D83, BY83=CA83)), OR(BY83=B83, CA83=D83)), 7,
        IF(OR(AND(B83&gt;D83, BY83&gt;CA83), AND(B83&lt;D83, BY83&lt;CA83), AND(B83=D83, BY83=CA83)), 5,
          IF(OR(BY83=B83, CA83=D83), 2, 0)
        )
      )
    )
  )
)</f>
        <v>-</v>
      </c>
      <c r="CC83" s="170"/>
      <c r="CD83" s="175"/>
      <c r="CE83" s="16" t="s">
        <v>17</v>
      </c>
      <c r="CF83" s="175"/>
      <c r="CG83" s="17" t="str">
        <f t="shared" ref="CG83:CG88" si="315">IF(OR(B83="", D83=""), "-",
  IF(OR(CD83="", CF83=""), 0,
    IF(AND(CD83=B83, CF83=D83), 10,
      IF(AND(OR(AND(B83&gt;D83, CD83&gt;CF83), AND(B83&lt;D83, CD83&lt;CF83), AND(B83=D83, CD83=CF83)), OR(CD83=B83, CF83=D83)), 7,
        IF(OR(AND(B83&gt;D83, CD83&gt;CF83), AND(B83&lt;D83, CD83&lt;CF83), AND(B83=D83, CD83=CF83)), 5,
          IF(OR(CD83=B83, CF83=D83), 2, 0)
        )
      )
    )
  )
)</f>
        <v>-</v>
      </c>
      <c r="CH83" s="170"/>
      <c r="CI83" s="175"/>
      <c r="CJ83" s="16" t="s">
        <v>17</v>
      </c>
      <c r="CK83" s="175"/>
      <c r="CL83" s="17" t="str">
        <f t="shared" ref="CL83:CL88" si="316">IF(OR(B83="", D83=""), "-",
  IF(OR(CI83="", CK83=""), 0,
    IF(AND(CI83=B83, CK83=D83), 10,
      IF(AND(OR(AND(B83&gt;D83, CI83&gt;CK83), AND(B83&lt;D83, CI83&lt;CK83), AND(B83=D83, CI83=CK83)), OR(CI83=B83, CK83=D83)), 7,
        IF(OR(AND(B83&gt;D83, CI83&gt;CK83), AND(B83&lt;D83, CI83&lt;CK83), AND(B83=D83, CI83=CK83)), 5,
          IF(OR(CI83=B83, CK83=D83), 2, 0)
        )
      )
    )
  )
)</f>
        <v>-</v>
      </c>
      <c r="CM83" s="170"/>
      <c r="CN83" s="175"/>
      <c r="CO83" s="16" t="s">
        <v>17</v>
      </c>
      <c r="CP83" s="175"/>
      <c r="CQ83" s="17" t="str">
        <f t="shared" ref="CQ83:CQ88" si="317">IF(OR(B83="", D83=""), "-",
  IF(OR(CN83="", CP83=""), 0,
    IF(AND(CN83=B83, CP83=D83), 10,
      IF(AND(OR(AND(B83&gt;D83, CN83&gt;CP83), AND(B83&lt;D83, CN83&lt;CP83), AND(B83=D83, CN83=CP83)), OR(CN83=B83, CP83=D83)), 7,
        IF(OR(AND(B83&gt;D83, CN83&gt;CP83), AND(B83&lt;D83, CN83&lt;CP83), AND(B83=D83, CN83=CP83)), 5,
          IF(OR(CN83=B83, CP83=D83), 2, 0)
        )
      )
    )
  )
)</f>
        <v>-</v>
      </c>
      <c r="CR83" s="170"/>
      <c r="CS83" s="175"/>
      <c r="CT83" s="16" t="s">
        <v>17</v>
      </c>
      <c r="CU83" s="175"/>
      <c r="CV83" s="17" t="str">
        <f t="shared" ref="CV83:CV88" si="318">IF(OR(B83="", D83=""), "-",
  IF(OR(CS83="", CU83=""), 0,
    IF(AND(CS83=B83, CU83=D83), 10,
      IF(AND(OR(AND(B83&gt;D83, CS83&gt;CU83), AND(B83&lt;D83, CS83&lt;CU83), AND(B83=D83, CS83=CU83)), OR(CS83=B83, CU83=D83)), 7,
        IF(OR(AND(B83&gt;D83, CS83&gt;CU83), AND(B83&lt;D83, CS83&lt;CU83), AND(B83=D83, CS83=CU83)), 5,
          IF(OR(CS83=B83, CU83=D83), 2, 0)
        )
      )
    )
  )
)</f>
        <v>-</v>
      </c>
      <c r="CW83" s="170"/>
      <c r="CX83" s="175"/>
      <c r="CY83" s="16" t="s">
        <v>17</v>
      </c>
      <c r="CZ83" s="175"/>
      <c r="DA83" s="17" t="str">
        <f t="shared" ref="DA83:DA88" si="319">IF(OR(B83="", D83=""), "-",
  IF(OR(CX83="", CZ83=""), 0,
    IF(AND(CX83=B83, CZ83=D83), 10,
      IF(AND(OR(AND(B83&gt;D83, CX83&gt;CZ83), AND(B83&lt;D83, CX83&lt;CZ83), AND(B83=D83, CX83=CZ83)), OR(CX83=B83, CZ83=D83)), 7,
        IF(OR(AND(B83&gt;D83, CX83&gt;CZ83), AND(B83&lt;D83, CX83&lt;CZ83), AND(B83=D83, CX83=CZ83)), 5,
          IF(OR(CX83=B83, CZ83=D83), 2, 0)
        )
      )
    )
  )
)</f>
        <v>-</v>
      </c>
      <c r="DB83" s="170"/>
      <c r="DC83" s="175"/>
      <c r="DD83" s="16" t="s">
        <v>17</v>
      </c>
      <c r="DE83" s="175"/>
      <c r="DF83" s="17" t="str">
        <f t="shared" ref="DF83:DF88" si="320">IF(OR(B83="", D83=""), "-",
  IF(OR(DC83="", DE83=""), 0,
    IF(AND(DC83=B83, DE83=D83), 10,
      IF(AND(OR(AND(B83&gt;D83, DC83&gt;DE83), AND(B83&lt;D83, DC83&lt;DE83), AND(B83=D83, DC83=DE83)), OR(DC83=B83, DE83=D83)), 7,
        IF(OR(AND(B83&gt;D83, DC83&gt;DE83), AND(B83&lt;D83, DC83&lt;DE83), AND(B83=D83, DC83=DE83)), 5,
          IF(OR(DC83=B83, DE83=D83), 2, 0)
        )
      )
    )
  )
)</f>
        <v>-</v>
      </c>
      <c r="DG83" s="170"/>
      <c r="DH83" s="175"/>
      <c r="DI83" s="16" t="s">
        <v>17</v>
      </c>
      <c r="DJ83" s="175"/>
      <c r="DK83" s="17" t="str">
        <f t="shared" ref="DK83:DK88" si="321">IF(OR(B83="", D83=""), "-",
  IF(OR(DH83="", DJ83=""), 0,
    IF(AND(DH83=B83, DJ83=D83), 10,
      IF(AND(OR(AND(B83&gt;D83, DH83&gt;DJ83), AND(B83&lt;D83, DH83&lt;DJ83), AND(B83=D83, DH83=DJ83)), OR(DH83=B83, DJ83=D83)), 7,
        IF(OR(AND(B83&gt;D83, DH83&gt;DJ83), AND(B83&lt;D83, DH83&lt;DJ83), AND(B83=D83, DH83=DJ83)), 5,
          IF(OR(DH83=B83, DJ83=D83), 2, 0)
        )
      )
    )
  )
)</f>
        <v>-</v>
      </c>
      <c r="DL83" s="170"/>
      <c r="DM83" s="175"/>
      <c r="DN83" s="16" t="s">
        <v>17</v>
      </c>
      <c r="DO83" s="175"/>
      <c r="DP83" s="17" t="str">
        <f t="shared" ref="DP83:DP88" si="322">IF(OR(B83="", D83=""), "-",
  IF(OR(DM83="", DO83=""), 0,
    IF(AND(DM83=B83, DO83=D83), 10,
      IF(AND(OR(AND(B83&gt;D83, DM83&gt;DO83), AND(B83&lt;D83, DM83&lt;DO83), AND(B83=D83, DM83=DO83)), OR(DM83=B83, DO83=D83)), 7,
        IF(OR(AND(B83&gt;D83, DM83&gt;DO83), AND(B83&lt;D83, DM83&lt;DO83), AND(B83=D83, DM83=DO83)), 5,
          IF(OR(DM83=B83, DO83=D83), 2, 0)
        )
      )
    )
  )
)</f>
        <v>-</v>
      </c>
      <c r="DQ83" s="170"/>
      <c r="DR83" s="175"/>
      <c r="DS83" s="16" t="s">
        <v>17</v>
      </c>
      <c r="DT83" s="175"/>
      <c r="DU83" s="17" t="str">
        <f t="shared" ref="DU83:DU88" si="323">IF(OR(B83="", D83=""), "-",
  IF(OR(DR83="", DT83=""), 0,
    IF(AND(DR83=B83, DT83=D83), 10,
      IF(AND(OR(AND(B83&gt;D83, DR83&gt;DT83), AND(B83&lt;D83, DR83&lt;DT83), AND(B83=D83, DR83=DT83)), OR(DR83=B83, DT83=D83)), 7,
        IF(OR(AND(B83&gt;D83, DR83&gt;DT83), AND(B83&lt;D83, DR83&lt;DT83), AND(B83=D83, DR83=DT83)), 5,
          IF(OR(DR83=B83, DT83=D83), 2, 0)
        )
      )
    )
  )
)</f>
        <v>-</v>
      </c>
      <c r="DV83" s="170"/>
      <c r="DW83" s="175"/>
      <c r="DX83" s="16" t="s">
        <v>17</v>
      </c>
      <c r="DY83" s="175"/>
      <c r="DZ83" s="17" t="str">
        <f t="shared" ref="DZ83:DZ88" si="324">IF(OR(B83="", D83=""), "-",
  IF(OR(DW83="", DY83=""), 0,
    IF(AND(DW83=B83, DY83=D83), 10,
      IF(AND(OR(AND(B83&gt;D83, DW83&gt;DY83), AND(B83&lt;D83, DW83&lt;DY83), AND(B83=D83, DW83=DY83)), OR(DW83=B83, DY83=D83)), 7,
        IF(OR(AND(B83&gt;D83, DW83&gt;DY83), AND(B83&lt;D83, DW83&lt;DY83), AND(B83=D83, DW83=DY83)), 5,
          IF(OR(DW83=B83, DY83=D83), 2, 0)
        )
      )
    )
  )
)</f>
        <v>-</v>
      </c>
      <c r="EA83" s="166"/>
      <c r="EB83" s="175"/>
      <c r="EC83" s="16" t="s">
        <v>17</v>
      </c>
      <c r="ED83" s="175"/>
      <c r="EE83" s="17" t="str">
        <f t="shared" ref="EE83:EE88" si="325">IF(OR(B83="", D83=""), "-",
  IF(OR(EB83="", ED83=""), 0,
    IF(AND(EB83=B83, ED83=D83), 10,
      IF(AND(OR(AND(B83&gt;D83, EB83&gt;ED83), AND(B83&lt;D83, EB83&lt;ED83), AND(B83=D83, EB83=ED83)), OR(EB83=B83, ED83=D83)), 7,
        IF(OR(AND(B83&gt;D83, EB83&gt;ED83), AND(B83&lt;D83, EB83&lt;ED83), AND(B83=D83, EB83=ED83)), 5,
          IF(OR(EB83=B83, ED83=D83), 2, 0)
        )
      )
    )
  )
)</f>
        <v>-</v>
      </c>
      <c r="EF83" s="166"/>
      <c r="EG83" s="175"/>
      <c r="EH83" s="16" t="s">
        <v>17</v>
      </c>
      <c r="EI83" s="175"/>
      <c r="EJ83" s="17" t="str">
        <f t="shared" ref="EJ83:EJ88" si="326">IF(OR(B83="", D83=""), "-",
  IF(OR(EG83="", EI83=""), 0,
    IF(AND(EG83=B83, EI83=D83), 10,
      IF(AND(OR(AND(B83&gt;D83, EG83&gt;EI83), AND(B83&lt;D83, EG83&lt;EI83), AND(B83=D83, EG83=EI83)), OR(EG83=B83, EI83=D83)), 7,
        IF(OR(AND(B83&gt;D83, EG83&gt;EI83), AND(B83&lt;D83, EG83&lt;EI83), AND(B83=D83, EG83=EI83)), 5,
          IF(OR(EG83=B83, EI83=D83), 2, 0)
        )
      )
    )
  )
)</f>
        <v>-</v>
      </c>
      <c r="EK83" s="166"/>
      <c r="EL83" s="175"/>
      <c r="EM83" s="16" t="s">
        <v>17</v>
      </c>
      <c r="EN83" s="175"/>
      <c r="EO83" s="17" t="str">
        <f t="shared" ref="EO83:EO88" si="327">IF(OR(B83="", D83=""), "-",
  IF(OR(EL83="", EN83=""), 0,
    IF(AND(EL83=B83, EN83=D83), 10,
      IF(AND(OR(AND(B83&gt;D83, EL83&gt;EN83), AND(B83&lt;D83, EL83&lt;EN83), AND(B83=D83, EL83=EN83)), OR(EL83=B83, EN83=D83)), 7,
        IF(OR(AND(B83&gt;D83, EL83&gt;EN83), AND(B83&lt;D83, EL83&lt;EN83), AND(B83=D83, EL83=EN83)), 5,
          IF(OR(EL83=B83, EN83=D83), 2, 0)
        )
      )
    )
  )
)</f>
        <v>-</v>
      </c>
      <c r="EP83" s="166"/>
      <c r="EQ83" s="175"/>
      <c r="ER83" s="16" t="s">
        <v>17</v>
      </c>
      <c r="ES83" s="175"/>
      <c r="ET83" s="17" t="str">
        <f t="shared" ref="ET83:ET88" si="328">IF(OR(B83="", D83=""), "-",
  IF(OR(EQ83="", ES83=""), 0,
    IF(AND(EQ83=B83, ES83=D83), 10,
      IF(AND(OR(AND(B83&gt;D83, EQ83&gt;ES83), AND(B83&lt;D83, EQ83&lt;ES83), AND(B83=D83, EQ83=ES83)), OR(EQ83=B83, ES83=D83)), 7,
        IF(OR(AND(B83&gt;D83, EQ83&gt;ES83), AND(B83&lt;D83, EQ83&lt;ES83), AND(B83=D83, EQ83=ES83)), 5,
          IF(OR(EQ83=B83, ES83=D83), 2, 0)
        )
      )
    )
  )
)</f>
        <v>-</v>
      </c>
      <c r="EU83" s="166"/>
      <c r="EV83" s="13"/>
      <c r="EW83" s="14" t="s">
        <v>17</v>
      </c>
      <c r="EX83" s="13"/>
      <c r="EY83" s="19" t="str">
        <f t="shared" ref="EY83:EY88" si="329">IF(OR(B83="", D83=""), "-",
  IF(OR(EV83="", EX83=""), 0,
    IF(AND(EV83=B83, EX83=D83), 10,
      IF(AND(OR(AND(B83&gt;D83, EV83&gt;EX83), AND(B83&lt;D83, EV83&lt;EX83), AND(B83=D83, EV83=EX83)), OR(EV83=B83, EX83=D83)), 7,
        IF(OR(AND(B83&gt;D83, EV83&gt;EX83), AND(B83&lt;D83, EV83&lt;EX83), AND(B83=D83, EV83=EX83)), 5,
          IF(OR(EV83=B83, EX83=D83), 2, 0)
        )
      )
    )
  )
)</f>
        <v>-</v>
      </c>
      <c r="EZ83" s="166"/>
      <c r="FA83" s="8"/>
    </row>
    <row r="84" spans="1:157" ht="17.399999999999999">
      <c r="A84" s="131" t="s">
        <v>119</v>
      </c>
      <c r="B84" s="132"/>
      <c r="C84" s="133" t="s">
        <v>17</v>
      </c>
      <c r="D84" s="132"/>
      <c r="E84" s="131" t="s">
        <v>120</v>
      </c>
      <c r="F84" s="166"/>
      <c r="G84" s="132"/>
      <c r="H84" s="133" t="s">
        <v>17</v>
      </c>
      <c r="I84" s="132"/>
      <c r="J84" s="134" t="str">
        <f t="shared" si="300"/>
        <v>-</v>
      </c>
      <c r="K84" s="220"/>
      <c r="L84" s="132"/>
      <c r="M84" s="133" t="s">
        <v>17</v>
      </c>
      <c r="N84" s="132"/>
      <c r="O84" s="134" t="str">
        <f t="shared" si="301"/>
        <v>-</v>
      </c>
      <c r="P84" s="220"/>
      <c r="Q84" s="132"/>
      <c r="R84" s="133" t="s">
        <v>17</v>
      </c>
      <c r="S84" s="132"/>
      <c r="T84" s="134" t="str">
        <f t="shared" si="302"/>
        <v>-</v>
      </c>
      <c r="U84" s="220"/>
      <c r="V84" s="132"/>
      <c r="W84" s="133" t="s">
        <v>17</v>
      </c>
      <c r="X84" s="132"/>
      <c r="Y84" s="134" t="str">
        <f t="shared" si="303"/>
        <v>-</v>
      </c>
      <c r="Z84" s="220"/>
      <c r="AA84" s="132"/>
      <c r="AB84" s="133" t="s">
        <v>17</v>
      </c>
      <c r="AC84" s="132"/>
      <c r="AD84" s="134" t="str">
        <f t="shared" si="304"/>
        <v>-</v>
      </c>
      <c r="AE84" s="220"/>
      <c r="AF84" s="132"/>
      <c r="AG84" s="133" t="s">
        <v>17</v>
      </c>
      <c r="AH84" s="132"/>
      <c r="AI84" s="134" t="str">
        <f t="shared" si="305"/>
        <v>-</v>
      </c>
      <c r="AJ84" s="220"/>
      <c r="AK84" s="132"/>
      <c r="AL84" s="133" t="s">
        <v>17</v>
      </c>
      <c r="AM84" s="132"/>
      <c r="AN84" s="134" t="str">
        <f t="shared" si="306"/>
        <v>-</v>
      </c>
      <c r="AO84" s="220"/>
      <c r="AP84" s="132"/>
      <c r="AQ84" s="133" t="s">
        <v>17</v>
      </c>
      <c r="AR84" s="132"/>
      <c r="AS84" s="134" t="str">
        <f t="shared" si="307"/>
        <v>-</v>
      </c>
      <c r="AT84" s="220"/>
      <c r="AU84" s="132"/>
      <c r="AV84" s="133" t="s">
        <v>17</v>
      </c>
      <c r="AW84" s="132"/>
      <c r="AX84" s="134" t="str">
        <f t="shared" si="308"/>
        <v>-</v>
      </c>
      <c r="AY84" s="168"/>
      <c r="AZ84" s="132"/>
      <c r="BA84" s="133" t="s">
        <v>17</v>
      </c>
      <c r="BB84" s="132"/>
      <c r="BC84" s="134" t="str">
        <f t="shared" si="309"/>
        <v>-</v>
      </c>
      <c r="BD84" s="169"/>
      <c r="BE84" s="132"/>
      <c r="BF84" s="133" t="s">
        <v>17</v>
      </c>
      <c r="BG84" s="132"/>
      <c r="BH84" s="135" t="str">
        <f t="shared" si="310"/>
        <v>-</v>
      </c>
      <c r="BI84" s="169"/>
      <c r="BJ84" s="132"/>
      <c r="BK84" s="133" t="s">
        <v>17</v>
      </c>
      <c r="BL84" s="132"/>
      <c r="BM84" s="135" t="str">
        <f t="shared" si="311"/>
        <v>-</v>
      </c>
      <c r="BN84" s="169"/>
      <c r="BO84" s="132"/>
      <c r="BP84" s="133" t="s">
        <v>17</v>
      </c>
      <c r="BQ84" s="132"/>
      <c r="BR84" s="135" t="str">
        <f t="shared" si="312"/>
        <v>-</v>
      </c>
      <c r="BS84" s="169"/>
      <c r="BT84" s="132"/>
      <c r="BU84" s="133" t="s">
        <v>17</v>
      </c>
      <c r="BV84" s="132"/>
      <c r="BW84" s="135" t="str">
        <f t="shared" si="313"/>
        <v>-</v>
      </c>
      <c r="BX84" s="166"/>
      <c r="BY84" s="277"/>
      <c r="BZ84" s="278" t="s">
        <v>17</v>
      </c>
      <c r="CA84" s="277"/>
      <c r="CB84" s="134" t="str">
        <f t="shared" si="314"/>
        <v>-</v>
      </c>
      <c r="CC84" s="170"/>
      <c r="CD84" s="277"/>
      <c r="CE84" s="278" t="s">
        <v>17</v>
      </c>
      <c r="CF84" s="277"/>
      <c r="CG84" s="134" t="str">
        <f t="shared" si="315"/>
        <v>-</v>
      </c>
      <c r="CH84" s="170"/>
      <c r="CI84" s="277"/>
      <c r="CJ84" s="278" t="s">
        <v>17</v>
      </c>
      <c r="CK84" s="277"/>
      <c r="CL84" s="134" t="str">
        <f t="shared" si="316"/>
        <v>-</v>
      </c>
      <c r="CM84" s="170"/>
      <c r="CN84" s="277"/>
      <c r="CO84" s="278" t="s">
        <v>17</v>
      </c>
      <c r="CP84" s="277"/>
      <c r="CQ84" s="134" t="str">
        <f t="shared" si="317"/>
        <v>-</v>
      </c>
      <c r="CR84" s="170"/>
      <c r="CS84" s="277"/>
      <c r="CT84" s="278" t="s">
        <v>17</v>
      </c>
      <c r="CU84" s="277"/>
      <c r="CV84" s="134" t="str">
        <f t="shared" si="318"/>
        <v>-</v>
      </c>
      <c r="CW84" s="170"/>
      <c r="CX84" s="277"/>
      <c r="CY84" s="278" t="s">
        <v>17</v>
      </c>
      <c r="CZ84" s="277"/>
      <c r="DA84" s="134" t="str">
        <f t="shared" si="319"/>
        <v>-</v>
      </c>
      <c r="DB84" s="170"/>
      <c r="DC84" s="277"/>
      <c r="DD84" s="278" t="s">
        <v>17</v>
      </c>
      <c r="DE84" s="277"/>
      <c r="DF84" s="134" t="str">
        <f t="shared" si="320"/>
        <v>-</v>
      </c>
      <c r="DG84" s="170"/>
      <c r="DH84" s="277"/>
      <c r="DI84" s="278" t="s">
        <v>17</v>
      </c>
      <c r="DJ84" s="277"/>
      <c r="DK84" s="134" t="str">
        <f t="shared" si="321"/>
        <v>-</v>
      </c>
      <c r="DL84" s="170"/>
      <c r="DM84" s="277"/>
      <c r="DN84" s="278" t="s">
        <v>17</v>
      </c>
      <c r="DO84" s="277"/>
      <c r="DP84" s="134" t="str">
        <f t="shared" si="322"/>
        <v>-</v>
      </c>
      <c r="DQ84" s="170"/>
      <c r="DR84" s="277"/>
      <c r="DS84" s="278" t="s">
        <v>17</v>
      </c>
      <c r="DT84" s="277"/>
      <c r="DU84" s="134" t="str">
        <f t="shared" si="323"/>
        <v>-</v>
      </c>
      <c r="DV84" s="170"/>
      <c r="DW84" s="277"/>
      <c r="DX84" s="278" t="s">
        <v>17</v>
      </c>
      <c r="DY84" s="277"/>
      <c r="DZ84" s="134" t="str">
        <f t="shared" si="324"/>
        <v>-</v>
      </c>
      <c r="EA84" s="166"/>
      <c r="EB84" s="277"/>
      <c r="EC84" s="278" t="s">
        <v>17</v>
      </c>
      <c r="ED84" s="277"/>
      <c r="EE84" s="134" t="str">
        <f t="shared" si="325"/>
        <v>-</v>
      </c>
      <c r="EF84" s="166"/>
      <c r="EG84" s="277"/>
      <c r="EH84" s="278" t="s">
        <v>17</v>
      </c>
      <c r="EI84" s="277"/>
      <c r="EJ84" s="134" t="str">
        <f t="shared" si="326"/>
        <v>-</v>
      </c>
      <c r="EK84" s="166"/>
      <c r="EL84" s="277"/>
      <c r="EM84" s="278" t="s">
        <v>17</v>
      </c>
      <c r="EN84" s="277"/>
      <c r="EO84" s="134" t="str">
        <f t="shared" si="327"/>
        <v>-</v>
      </c>
      <c r="EP84" s="166"/>
      <c r="EQ84" s="277"/>
      <c r="ER84" s="278" t="s">
        <v>17</v>
      </c>
      <c r="ES84" s="277"/>
      <c r="ET84" s="134" t="str">
        <f t="shared" si="328"/>
        <v>-</v>
      </c>
      <c r="EU84" s="166"/>
      <c r="EV84" s="132"/>
      <c r="EW84" s="133" t="s">
        <v>17</v>
      </c>
      <c r="EX84" s="132"/>
      <c r="EY84" s="135" t="str">
        <f t="shared" si="329"/>
        <v>-</v>
      </c>
      <c r="EZ84" s="166"/>
      <c r="FA84" s="8"/>
    </row>
    <row r="85" spans="1:157" ht="17.399999999999999">
      <c r="A85" s="12" t="s">
        <v>117</v>
      </c>
      <c r="B85" s="13"/>
      <c r="C85" s="14" t="s">
        <v>17</v>
      </c>
      <c r="D85" s="13"/>
      <c r="E85" s="12" t="s">
        <v>119</v>
      </c>
      <c r="F85" s="166"/>
      <c r="G85" s="13"/>
      <c r="H85" s="14" t="s">
        <v>17</v>
      </c>
      <c r="I85" s="13"/>
      <c r="J85" s="17" t="str">
        <f t="shared" si="300"/>
        <v>-</v>
      </c>
      <c r="K85" s="220"/>
      <c r="L85" s="13"/>
      <c r="M85" s="14" t="s">
        <v>17</v>
      </c>
      <c r="N85" s="13"/>
      <c r="O85" s="17" t="str">
        <f t="shared" si="301"/>
        <v>-</v>
      </c>
      <c r="P85" s="220"/>
      <c r="Q85" s="13"/>
      <c r="R85" s="14" t="s">
        <v>17</v>
      </c>
      <c r="S85" s="13"/>
      <c r="T85" s="17" t="str">
        <f t="shared" si="302"/>
        <v>-</v>
      </c>
      <c r="U85" s="220"/>
      <c r="V85" s="13"/>
      <c r="W85" s="14" t="s">
        <v>17</v>
      </c>
      <c r="X85" s="13"/>
      <c r="Y85" s="17" t="str">
        <f t="shared" si="303"/>
        <v>-</v>
      </c>
      <c r="Z85" s="220"/>
      <c r="AA85" s="13"/>
      <c r="AB85" s="14" t="s">
        <v>17</v>
      </c>
      <c r="AC85" s="13"/>
      <c r="AD85" s="17" t="str">
        <f t="shared" si="304"/>
        <v>-</v>
      </c>
      <c r="AE85" s="220"/>
      <c r="AF85" s="13"/>
      <c r="AG85" s="14" t="s">
        <v>17</v>
      </c>
      <c r="AH85" s="13"/>
      <c r="AI85" s="17" t="str">
        <f t="shared" si="305"/>
        <v>-</v>
      </c>
      <c r="AJ85" s="220"/>
      <c r="AK85" s="13"/>
      <c r="AL85" s="14" t="s">
        <v>17</v>
      </c>
      <c r="AM85" s="13"/>
      <c r="AN85" s="17" t="str">
        <f t="shared" si="306"/>
        <v>-</v>
      </c>
      <c r="AO85" s="220"/>
      <c r="AP85" s="13"/>
      <c r="AQ85" s="14" t="s">
        <v>17</v>
      </c>
      <c r="AR85" s="13"/>
      <c r="AS85" s="17" t="str">
        <f t="shared" si="307"/>
        <v>-</v>
      </c>
      <c r="AT85" s="220"/>
      <c r="AU85" s="13"/>
      <c r="AV85" s="14" t="s">
        <v>17</v>
      </c>
      <c r="AW85" s="13"/>
      <c r="AX85" s="17" t="str">
        <f t="shared" si="308"/>
        <v>-</v>
      </c>
      <c r="AY85" s="168"/>
      <c r="AZ85" s="13"/>
      <c r="BA85" s="14" t="s">
        <v>17</v>
      </c>
      <c r="BB85" s="13"/>
      <c r="BC85" s="17" t="str">
        <f t="shared" si="309"/>
        <v>-</v>
      </c>
      <c r="BD85" s="169"/>
      <c r="BE85" s="13"/>
      <c r="BF85" s="14" t="s">
        <v>17</v>
      </c>
      <c r="BG85" s="13"/>
      <c r="BH85" s="19" t="str">
        <f t="shared" si="310"/>
        <v>-</v>
      </c>
      <c r="BI85" s="169"/>
      <c r="BJ85" s="13"/>
      <c r="BK85" s="14" t="s">
        <v>17</v>
      </c>
      <c r="BL85" s="13"/>
      <c r="BM85" s="19" t="str">
        <f t="shared" si="311"/>
        <v>-</v>
      </c>
      <c r="BN85" s="169"/>
      <c r="BO85" s="13"/>
      <c r="BP85" s="14" t="s">
        <v>17</v>
      </c>
      <c r="BQ85" s="13"/>
      <c r="BR85" s="19" t="str">
        <f t="shared" si="312"/>
        <v>-</v>
      </c>
      <c r="BS85" s="169"/>
      <c r="BT85" s="13"/>
      <c r="BU85" s="14" t="s">
        <v>17</v>
      </c>
      <c r="BV85" s="13"/>
      <c r="BW85" s="19" t="str">
        <f t="shared" si="313"/>
        <v>-</v>
      </c>
      <c r="BX85" s="166"/>
      <c r="BY85" s="175"/>
      <c r="BZ85" s="16" t="s">
        <v>17</v>
      </c>
      <c r="CA85" s="175"/>
      <c r="CB85" s="17" t="str">
        <f t="shared" si="314"/>
        <v>-</v>
      </c>
      <c r="CC85" s="170"/>
      <c r="CD85" s="175"/>
      <c r="CE85" s="16" t="s">
        <v>17</v>
      </c>
      <c r="CF85" s="175"/>
      <c r="CG85" s="17" t="str">
        <f t="shared" si="315"/>
        <v>-</v>
      </c>
      <c r="CH85" s="170"/>
      <c r="CI85" s="175"/>
      <c r="CJ85" s="16" t="s">
        <v>17</v>
      </c>
      <c r="CK85" s="175"/>
      <c r="CL85" s="17" t="str">
        <f t="shared" si="316"/>
        <v>-</v>
      </c>
      <c r="CM85" s="170"/>
      <c r="CN85" s="175"/>
      <c r="CO85" s="16" t="s">
        <v>17</v>
      </c>
      <c r="CP85" s="175"/>
      <c r="CQ85" s="17" t="str">
        <f t="shared" si="317"/>
        <v>-</v>
      </c>
      <c r="CR85" s="170"/>
      <c r="CS85" s="175"/>
      <c r="CT85" s="16" t="s">
        <v>17</v>
      </c>
      <c r="CU85" s="175"/>
      <c r="CV85" s="17" t="str">
        <f t="shared" si="318"/>
        <v>-</v>
      </c>
      <c r="CW85" s="170"/>
      <c r="CX85" s="175"/>
      <c r="CY85" s="16" t="s">
        <v>17</v>
      </c>
      <c r="CZ85" s="175"/>
      <c r="DA85" s="17" t="str">
        <f t="shared" si="319"/>
        <v>-</v>
      </c>
      <c r="DB85" s="170"/>
      <c r="DC85" s="175"/>
      <c r="DD85" s="16" t="s">
        <v>17</v>
      </c>
      <c r="DE85" s="175"/>
      <c r="DF85" s="17" t="str">
        <f t="shared" si="320"/>
        <v>-</v>
      </c>
      <c r="DG85" s="170"/>
      <c r="DH85" s="175"/>
      <c r="DI85" s="16" t="s">
        <v>17</v>
      </c>
      <c r="DJ85" s="175"/>
      <c r="DK85" s="17" t="str">
        <f t="shared" si="321"/>
        <v>-</v>
      </c>
      <c r="DL85" s="170"/>
      <c r="DM85" s="175"/>
      <c r="DN85" s="16" t="s">
        <v>17</v>
      </c>
      <c r="DO85" s="175"/>
      <c r="DP85" s="17" t="str">
        <f t="shared" si="322"/>
        <v>-</v>
      </c>
      <c r="DQ85" s="170"/>
      <c r="DR85" s="175"/>
      <c r="DS85" s="16" t="s">
        <v>17</v>
      </c>
      <c r="DT85" s="175"/>
      <c r="DU85" s="17" t="str">
        <f t="shared" si="323"/>
        <v>-</v>
      </c>
      <c r="DV85" s="170"/>
      <c r="DW85" s="175"/>
      <c r="DX85" s="16" t="s">
        <v>17</v>
      </c>
      <c r="DY85" s="175"/>
      <c r="DZ85" s="17" t="str">
        <f t="shared" si="324"/>
        <v>-</v>
      </c>
      <c r="EA85" s="166"/>
      <c r="EB85" s="175"/>
      <c r="EC85" s="16" t="s">
        <v>17</v>
      </c>
      <c r="ED85" s="175"/>
      <c r="EE85" s="17" t="str">
        <f t="shared" si="325"/>
        <v>-</v>
      </c>
      <c r="EF85" s="166"/>
      <c r="EG85" s="175"/>
      <c r="EH85" s="16" t="s">
        <v>17</v>
      </c>
      <c r="EI85" s="175"/>
      <c r="EJ85" s="17" t="str">
        <f t="shared" si="326"/>
        <v>-</v>
      </c>
      <c r="EK85" s="166"/>
      <c r="EL85" s="175"/>
      <c r="EM85" s="16" t="s">
        <v>17</v>
      </c>
      <c r="EN85" s="175"/>
      <c r="EO85" s="17" t="str">
        <f t="shared" si="327"/>
        <v>-</v>
      </c>
      <c r="EP85" s="166"/>
      <c r="EQ85" s="175"/>
      <c r="ER85" s="16" t="s">
        <v>17</v>
      </c>
      <c r="ES85" s="175"/>
      <c r="ET85" s="17" t="str">
        <f t="shared" si="328"/>
        <v>-</v>
      </c>
      <c r="EU85" s="166"/>
      <c r="EV85" s="13"/>
      <c r="EW85" s="14" t="s">
        <v>17</v>
      </c>
      <c r="EX85" s="13"/>
      <c r="EY85" s="19" t="str">
        <f t="shared" si="329"/>
        <v>-</v>
      </c>
      <c r="EZ85" s="166"/>
      <c r="FA85" s="8"/>
    </row>
    <row r="86" spans="1:157" ht="17.399999999999999">
      <c r="A86" s="131" t="s">
        <v>120</v>
      </c>
      <c r="B86" s="132"/>
      <c r="C86" s="133" t="s">
        <v>17</v>
      </c>
      <c r="D86" s="132"/>
      <c r="E86" s="131" t="s">
        <v>118</v>
      </c>
      <c r="F86" s="166"/>
      <c r="G86" s="132"/>
      <c r="H86" s="133" t="s">
        <v>17</v>
      </c>
      <c r="I86" s="132"/>
      <c r="J86" s="134" t="str">
        <f t="shared" si="300"/>
        <v>-</v>
      </c>
      <c r="K86" s="220"/>
      <c r="L86" s="132"/>
      <c r="M86" s="133" t="s">
        <v>17</v>
      </c>
      <c r="N86" s="132"/>
      <c r="O86" s="134" t="str">
        <f t="shared" si="301"/>
        <v>-</v>
      </c>
      <c r="P86" s="220"/>
      <c r="Q86" s="132"/>
      <c r="R86" s="133" t="s">
        <v>17</v>
      </c>
      <c r="S86" s="132"/>
      <c r="T86" s="134" t="str">
        <f t="shared" si="302"/>
        <v>-</v>
      </c>
      <c r="U86" s="220"/>
      <c r="V86" s="132"/>
      <c r="W86" s="133" t="s">
        <v>17</v>
      </c>
      <c r="X86" s="132"/>
      <c r="Y86" s="134" t="str">
        <f t="shared" si="303"/>
        <v>-</v>
      </c>
      <c r="Z86" s="220"/>
      <c r="AA86" s="132"/>
      <c r="AB86" s="133" t="s">
        <v>17</v>
      </c>
      <c r="AC86" s="132"/>
      <c r="AD86" s="134" t="str">
        <f t="shared" si="304"/>
        <v>-</v>
      </c>
      <c r="AE86" s="220"/>
      <c r="AF86" s="132"/>
      <c r="AG86" s="133" t="s">
        <v>17</v>
      </c>
      <c r="AH86" s="132"/>
      <c r="AI86" s="134" t="str">
        <f t="shared" si="305"/>
        <v>-</v>
      </c>
      <c r="AJ86" s="220"/>
      <c r="AK86" s="132"/>
      <c r="AL86" s="133" t="s">
        <v>17</v>
      </c>
      <c r="AM86" s="132"/>
      <c r="AN86" s="134" t="str">
        <f t="shared" si="306"/>
        <v>-</v>
      </c>
      <c r="AO86" s="220"/>
      <c r="AP86" s="132"/>
      <c r="AQ86" s="133" t="s">
        <v>17</v>
      </c>
      <c r="AR86" s="132"/>
      <c r="AS86" s="134" t="str">
        <f t="shared" si="307"/>
        <v>-</v>
      </c>
      <c r="AT86" s="220"/>
      <c r="AU86" s="132"/>
      <c r="AV86" s="133" t="s">
        <v>17</v>
      </c>
      <c r="AW86" s="132"/>
      <c r="AX86" s="134" t="str">
        <f t="shared" si="308"/>
        <v>-</v>
      </c>
      <c r="AY86" s="168"/>
      <c r="AZ86" s="132"/>
      <c r="BA86" s="133" t="s">
        <v>17</v>
      </c>
      <c r="BB86" s="132"/>
      <c r="BC86" s="134" t="str">
        <f t="shared" si="309"/>
        <v>-</v>
      </c>
      <c r="BD86" s="169"/>
      <c r="BE86" s="132"/>
      <c r="BF86" s="133" t="s">
        <v>17</v>
      </c>
      <c r="BG86" s="132"/>
      <c r="BH86" s="135" t="str">
        <f t="shared" si="310"/>
        <v>-</v>
      </c>
      <c r="BI86" s="169"/>
      <c r="BJ86" s="132"/>
      <c r="BK86" s="133" t="s">
        <v>17</v>
      </c>
      <c r="BL86" s="132"/>
      <c r="BM86" s="135" t="str">
        <f t="shared" si="311"/>
        <v>-</v>
      </c>
      <c r="BN86" s="169"/>
      <c r="BO86" s="132"/>
      <c r="BP86" s="133" t="s">
        <v>17</v>
      </c>
      <c r="BQ86" s="132"/>
      <c r="BR86" s="135" t="str">
        <f t="shared" si="312"/>
        <v>-</v>
      </c>
      <c r="BS86" s="169"/>
      <c r="BT86" s="132"/>
      <c r="BU86" s="133" t="s">
        <v>17</v>
      </c>
      <c r="BV86" s="132"/>
      <c r="BW86" s="135" t="str">
        <f t="shared" si="313"/>
        <v>-</v>
      </c>
      <c r="BX86" s="166"/>
      <c r="BY86" s="277"/>
      <c r="BZ86" s="278" t="s">
        <v>17</v>
      </c>
      <c r="CA86" s="277"/>
      <c r="CB86" s="134" t="str">
        <f t="shared" si="314"/>
        <v>-</v>
      </c>
      <c r="CC86" s="170"/>
      <c r="CD86" s="277"/>
      <c r="CE86" s="278" t="s">
        <v>17</v>
      </c>
      <c r="CF86" s="277"/>
      <c r="CG86" s="134" t="str">
        <f t="shared" si="315"/>
        <v>-</v>
      </c>
      <c r="CH86" s="170"/>
      <c r="CI86" s="277"/>
      <c r="CJ86" s="278" t="s">
        <v>17</v>
      </c>
      <c r="CK86" s="277"/>
      <c r="CL86" s="134" t="str">
        <f t="shared" si="316"/>
        <v>-</v>
      </c>
      <c r="CM86" s="170"/>
      <c r="CN86" s="277"/>
      <c r="CO86" s="278" t="s">
        <v>17</v>
      </c>
      <c r="CP86" s="277"/>
      <c r="CQ86" s="134" t="str">
        <f t="shared" si="317"/>
        <v>-</v>
      </c>
      <c r="CR86" s="170"/>
      <c r="CS86" s="277"/>
      <c r="CT86" s="278" t="s">
        <v>17</v>
      </c>
      <c r="CU86" s="277"/>
      <c r="CV86" s="134" t="str">
        <f t="shared" si="318"/>
        <v>-</v>
      </c>
      <c r="CW86" s="170"/>
      <c r="CX86" s="277"/>
      <c r="CY86" s="278" t="s">
        <v>17</v>
      </c>
      <c r="CZ86" s="277"/>
      <c r="DA86" s="134" t="str">
        <f t="shared" si="319"/>
        <v>-</v>
      </c>
      <c r="DB86" s="170"/>
      <c r="DC86" s="277"/>
      <c r="DD86" s="278" t="s">
        <v>17</v>
      </c>
      <c r="DE86" s="277"/>
      <c r="DF86" s="134" t="str">
        <f t="shared" si="320"/>
        <v>-</v>
      </c>
      <c r="DG86" s="170"/>
      <c r="DH86" s="277"/>
      <c r="DI86" s="278" t="s">
        <v>17</v>
      </c>
      <c r="DJ86" s="277"/>
      <c r="DK86" s="134" t="str">
        <f t="shared" si="321"/>
        <v>-</v>
      </c>
      <c r="DL86" s="170"/>
      <c r="DM86" s="277"/>
      <c r="DN86" s="278" t="s">
        <v>17</v>
      </c>
      <c r="DO86" s="277"/>
      <c r="DP86" s="134" t="str">
        <f t="shared" si="322"/>
        <v>-</v>
      </c>
      <c r="DQ86" s="170"/>
      <c r="DR86" s="277"/>
      <c r="DS86" s="278" t="s">
        <v>17</v>
      </c>
      <c r="DT86" s="277"/>
      <c r="DU86" s="134" t="str">
        <f t="shared" si="323"/>
        <v>-</v>
      </c>
      <c r="DV86" s="170"/>
      <c r="DW86" s="277"/>
      <c r="DX86" s="278" t="s">
        <v>17</v>
      </c>
      <c r="DY86" s="277"/>
      <c r="DZ86" s="134" t="str">
        <f t="shared" si="324"/>
        <v>-</v>
      </c>
      <c r="EA86" s="166"/>
      <c r="EB86" s="277"/>
      <c r="EC86" s="278" t="s">
        <v>17</v>
      </c>
      <c r="ED86" s="277"/>
      <c r="EE86" s="134" t="str">
        <f t="shared" si="325"/>
        <v>-</v>
      </c>
      <c r="EF86" s="166"/>
      <c r="EG86" s="277"/>
      <c r="EH86" s="278" t="s">
        <v>17</v>
      </c>
      <c r="EI86" s="277"/>
      <c r="EJ86" s="134" t="str">
        <f t="shared" si="326"/>
        <v>-</v>
      </c>
      <c r="EK86" s="166"/>
      <c r="EL86" s="277"/>
      <c r="EM86" s="278" t="s">
        <v>17</v>
      </c>
      <c r="EN86" s="277"/>
      <c r="EO86" s="134" t="str">
        <f t="shared" si="327"/>
        <v>-</v>
      </c>
      <c r="EP86" s="166"/>
      <c r="EQ86" s="277"/>
      <c r="ER86" s="278" t="s">
        <v>17</v>
      </c>
      <c r="ES86" s="277"/>
      <c r="ET86" s="134" t="str">
        <f t="shared" si="328"/>
        <v>-</v>
      </c>
      <c r="EU86" s="166"/>
      <c r="EV86" s="132"/>
      <c r="EW86" s="133" t="s">
        <v>17</v>
      </c>
      <c r="EX86" s="132"/>
      <c r="EY86" s="135" t="str">
        <f t="shared" si="329"/>
        <v>-</v>
      </c>
      <c r="EZ86" s="166"/>
      <c r="FA86" s="8"/>
    </row>
    <row r="87" spans="1:157" ht="17.399999999999999">
      <c r="A87" s="12" t="s">
        <v>118</v>
      </c>
      <c r="B87" s="13"/>
      <c r="C87" s="14" t="s">
        <v>17</v>
      </c>
      <c r="D87" s="13"/>
      <c r="E87" s="12" t="s">
        <v>119</v>
      </c>
      <c r="F87" s="166"/>
      <c r="G87" s="13"/>
      <c r="H87" s="14" t="s">
        <v>17</v>
      </c>
      <c r="I87" s="13"/>
      <c r="J87" s="17" t="str">
        <f t="shared" si="300"/>
        <v>-</v>
      </c>
      <c r="K87" s="220"/>
      <c r="L87" s="13"/>
      <c r="M87" s="14" t="s">
        <v>17</v>
      </c>
      <c r="N87" s="13"/>
      <c r="O87" s="17" t="str">
        <f t="shared" si="301"/>
        <v>-</v>
      </c>
      <c r="P87" s="220"/>
      <c r="Q87" s="13"/>
      <c r="R87" s="14" t="s">
        <v>17</v>
      </c>
      <c r="S87" s="13"/>
      <c r="T87" s="17" t="str">
        <f t="shared" si="302"/>
        <v>-</v>
      </c>
      <c r="U87" s="220"/>
      <c r="V87" s="13"/>
      <c r="W87" s="14" t="s">
        <v>17</v>
      </c>
      <c r="X87" s="13"/>
      <c r="Y87" s="17" t="str">
        <f t="shared" si="303"/>
        <v>-</v>
      </c>
      <c r="Z87" s="220"/>
      <c r="AA87" s="13"/>
      <c r="AB87" s="14" t="s">
        <v>17</v>
      </c>
      <c r="AC87" s="13"/>
      <c r="AD87" s="17" t="str">
        <f t="shared" si="304"/>
        <v>-</v>
      </c>
      <c r="AE87" s="220"/>
      <c r="AF87" s="13"/>
      <c r="AG87" s="14" t="s">
        <v>17</v>
      </c>
      <c r="AH87" s="13"/>
      <c r="AI87" s="17" t="str">
        <f t="shared" si="305"/>
        <v>-</v>
      </c>
      <c r="AJ87" s="220"/>
      <c r="AK87" s="13"/>
      <c r="AL87" s="14" t="s">
        <v>17</v>
      </c>
      <c r="AM87" s="13"/>
      <c r="AN87" s="17" t="str">
        <f t="shared" si="306"/>
        <v>-</v>
      </c>
      <c r="AO87" s="220"/>
      <c r="AP87" s="13"/>
      <c r="AQ87" s="14" t="s">
        <v>17</v>
      </c>
      <c r="AR87" s="13"/>
      <c r="AS87" s="17" t="str">
        <f t="shared" si="307"/>
        <v>-</v>
      </c>
      <c r="AT87" s="220"/>
      <c r="AU87" s="13"/>
      <c r="AV87" s="14" t="s">
        <v>17</v>
      </c>
      <c r="AW87" s="13"/>
      <c r="AX87" s="17" t="str">
        <f t="shared" si="308"/>
        <v>-</v>
      </c>
      <c r="AY87" s="168"/>
      <c r="AZ87" s="13"/>
      <c r="BA87" s="14" t="s">
        <v>17</v>
      </c>
      <c r="BB87" s="13"/>
      <c r="BC87" s="17" t="str">
        <f t="shared" si="309"/>
        <v>-</v>
      </c>
      <c r="BD87" s="169"/>
      <c r="BE87" s="13"/>
      <c r="BF87" s="14" t="s">
        <v>17</v>
      </c>
      <c r="BG87" s="13"/>
      <c r="BH87" s="19" t="str">
        <f t="shared" si="310"/>
        <v>-</v>
      </c>
      <c r="BI87" s="169"/>
      <c r="BJ87" s="13"/>
      <c r="BK87" s="14" t="s">
        <v>17</v>
      </c>
      <c r="BL87" s="13"/>
      <c r="BM87" s="19" t="str">
        <f t="shared" si="311"/>
        <v>-</v>
      </c>
      <c r="BN87" s="169"/>
      <c r="BO87" s="13"/>
      <c r="BP87" s="14" t="s">
        <v>17</v>
      </c>
      <c r="BQ87" s="13"/>
      <c r="BR87" s="19" t="str">
        <f t="shared" si="312"/>
        <v>-</v>
      </c>
      <c r="BS87" s="169"/>
      <c r="BT87" s="13"/>
      <c r="BU87" s="14" t="s">
        <v>17</v>
      </c>
      <c r="BV87" s="13"/>
      <c r="BW87" s="19" t="str">
        <f t="shared" si="313"/>
        <v>-</v>
      </c>
      <c r="BX87" s="166"/>
      <c r="BY87" s="175"/>
      <c r="BZ87" s="16" t="s">
        <v>17</v>
      </c>
      <c r="CA87" s="175"/>
      <c r="CB87" s="17" t="str">
        <f t="shared" si="314"/>
        <v>-</v>
      </c>
      <c r="CC87" s="170"/>
      <c r="CD87" s="175"/>
      <c r="CE87" s="16" t="s">
        <v>17</v>
      </c>
      <c r="CF87" s="175"/>
      <c r="CG87" s="17" t="str">
        <f t="shared" si="315"/>
        <v>-</v>
      </c>
      <c r="CH87" s="170"/>
      <c r="CI87" s="175"/>
      <c r="CJ87" s="16" t="s">
        <v>17</v>
      </c>
      <c r="CK87" s="175"/>
      <c r="CL87" s="17" t="str">
        <f t="shared" si="316"/>
        <v>-</v>
      </c>
      <c r="CM87" s="170"/>
      <c r="CN87" s="175"/>
      <c r="CO87" s="16" t="s">
        <v>17</v>
      </c>
      <c r="CP87" s="175"/>
      <c r="CQ87" s="17" t="str">
        <f t="shared" si="317"/>
        <v>-</v>
      </c>
      <c r="CR87" s="170"/>
      <c r="CS87" s="175"/>
      <c r="CT87" s="16" t="s">
        <v>17</v>
      </c>
      <c r="CU87" s="175"/>
      <c r="CV87" s="17" t="str">
        <f t="shared" si="318"/>
        <v>-</v>
      </c>
      <c r="CW87" s="170"/>
      <c r="CX87" s="175"/>
      <c r="CY87" s="16" t="s">
        <v>17</v>
      </c>
      <c r="CZ87" s="175"/>
      <c r="DA87" s="17" t="str">
        <f t="shared" si="319"/>
        <v>-</v>
      </c>
      <c r="DB87" s="170"/>
      <c r="DC87" s="175"/>
      <c r="DD87" s="16" t="s">
        <v>17</v>
      </c>
      <c r="DE87" s="175"/>
      <c r="DF87" s="17" t="str">
        <f t="shared" si="320"/>
        <v>-</v>
      </c>
      <c r="DG87" s="170"/>
      <c r="DH87" s="175"/>
      <c r="DI87" s="16" t="s">
        <v>17</v>
      </c>
      <c r="DJ87" s="175"/>
      <c r="DK87" s="17" t="str">
        <f t="shared" si="321"/>
        <v>-</v>
      </c>
      <c r="DL87" s="170"/>
      <c r="DM87" s="175"/>
      <c r="DN87" s="16" t="s">
        <v>17</v>
      </c>
      <c r="DO87" s="175"/>
      <c r="DP87" s="17" t="str">
        <f t="shared" si="322"/>
        <v>-</v>
      </c>
      <c r="DQ87" s="170"/>
      <c r="DR87" s="175"/>
      <c r="DS87" s="16" t="s">
        <v>17</v>
      </c>
      <c r="DT87" s="175"/>
      <c r="DU87" s="17" t="str">
        <f t="shared" si="323"/>
        <v>-</v>
      </c>
      <c r="DV87" s="170"/>
      <c r="DW87" s="175"/>
      <c r="DX87" s="16" t="s">
        <v>17</v>
      </c>
      <c r="DY87" s="175"/>
      <c r="DZ87" s="17" t="str">
        <f t="shared" si="324"/>
        <v>-</v>
      </c>
      <c r="EA87" s="166"/>
      <c r="EB87" s="175"/>
      <c r="EC87" s="16" t="s">
        <v>17</v>
      </c>
      <c r="ED87" s="175"/>
      <c r="EE87" s="17" t="str">
        <f t="shared" si="325"/>
        <v>-</v>
      </c>
      <c r="EF87" s="166"/>
      <c r="EG87" s="175"/>
      <c r="EH87" s="16" t="s">
        <v>17</v>
      </c>
      <c r="EI87" s="175"/>
      <c r="EJ87" s="17" t="str">
        <f t="shared" si="326"/>
        <v>-</v>
      </c>
      <c r="EK87" s="166"/>
      <c r="EL87" s="175"/>
      <c r="EM87" s="16" t="s">
        <v>17</v>
      </c>
      <c r="EN87" s="175"/>
      <c r="EO87" s="17" t="str">
        <f t="shared" si="327"/>
        <v>-</v>
      </c>
      <c r="EP87" s="166"/>
      <c r="EQ87" s="175"/>
      <c r="ER87" s="16" t="s">
        <v>17</v>
      </c>
      <c r="ES87" s="175"/>
      <c r="ET87" s="17" t="str">
        <f t="shared" si="328"/>
        <v>-</v>
      </c>
      <c r="EU87" s="166"/>
      <c r="EV87" s="13"/>
      <c r="EW87" s="14" t="s">
        <v>17</v>
      </c>
      <c r="EX87" s="13"/>
      <c r="EY87" s="19" t="str">
        <f t="shared" si="329"/>
        <v>-</v>
      </c>
      <c r="EZ87" s="166"/>
      <c r="FA87" s="8"/>
    </row>
    <row r="88" spans="1:157" ht="17.399999999999999">
      <c r="A88" s="131" t="s">
        <v>120</v>
      </c>
      <c r="B88" s="132"/>
      <c r="C88" s="133" t="s">
        <v>17</v>
      </c>
      <c r="D88" s="132"/>
      <c r="E88" s="131" t="s">
        <v>117</v>
      </c>
      <c r="F88" s="166"/>
      <c r="G88" s="132"/>
      <c r="H88" s="133" t="s">
        <v>17</v>
      </c>
      <c r="I88" s="132"/>
      <c r="J88" s="134" t="str">
        <f t="shared" si="300"/>
        <v>-</v>
      </c>
      <c r="K88" s="220"/>
      <c r="L88" s="132"/>
      <c r="M88" s="133" t="s">
        <v>17</v>
      </c>
      <c r="N88" s="132"/>
      <c r="O88" s="134" t="str">
        <f t="shared" si="301"/>
        <v>-</v>
      </c>
      <c r="P88" s="220"/>
      <c r="Q88" s="132"/>
      <c r="R88" s="133" t="s">
        <v>17</v>
      </c>
      <c r="S88" s="132"/>
      <c r="T88" s="134" t="str">
        <f t="shared" si="302"/>
        <v>-</v>
      </c>
      <c r="U88" s="220"/>
      <c r="V88" s="132"/>
      <c r="W88" s="133" t="s">
        <v>17</v>
      </c>
      <c r="X88" s="132"/>
      <c r="Y88" s="134" t="str">
        <f t="shared" si="303"/>
        <v>-</v>
      </c>
      <c r="Z88" s="220"/>
      <c r="AA88" s="132"/>
      <c r="AB88" s="133" t="s">
        <v>17</v>
      </c>
      <c r="AC88" s="132"/>
      <c r="AD88" s="134" t="str">
        <f t="shared" si="304"/>
        <v>-</v>
      </c>
      <c r="AE88" s="220"/>
      <c r="AF88" s="132"/>
      <c r="AG88" s="133" t="s">
        <v>17</v>
      </c>
      <c r="AH88" s="132"/>
      <c r="AI88" s="134" t="str">
        <f t="shared" si="305"/>
        <v>-</v>
      </c>
      <c r="AJ88" s="220"/>
      <c r="AK88" s="132"/>
      <c r="AL88" s="133" t="s">
        <v>17</v>
      </c>
      <c r="AM88" s="132"/>
      <c r="AN88" s="134" t="str">
        <f t="shared" si="306"/>
        <v>-</v>
      </c>
      <c r="AO88" s="220"/>
      <c r="AP88" s="132"/>
      <c r="AQ88" s="133" t="s">
        <v>17</v>
      </c>
      <c r="AR88" s="132"/>
      <c r="AS88" s="134" t="str">
        <f t="shared" si="307"/>
        <v>-</v>
      </c>
      <c r="AT88" s="220"/>
      <c r="AU88" s="132"/>
      <c r="AV88" s="133" t="s">
        <v>17</v>
      </c>
      <c r="AW88" s="132"/>
      <c r="AX88" s="134" t="str">
        <f t="shared" si="308"/>
        <v>-</v>
      </c>
      <c r="AY88" s="168"/>
      <c r="AZ88" s="132"/>
      <c r="BA88" s="133" t="s">
        <v>17</v>
      </c>
      <c r="BB88" s="132"/>
      <c r="BC88" s="134" t="str">
        <f t="shared" si="309"/>
        <v>-</v>
      </c>
      <c r="BD88" s="169"/>
      <c r="BE88" s="132"/>
      <c r="BF88" s="133" t="s">
        <v>17</v>
      </c>
      <c r="BG88" s="132"/>
      <c r="BH88" s="135" t="str">
        <f t="shared" si="310"/>
        <v>-</v>
      </c>
      <c r="BI88" s="169"/>
      <c r="BJ88" s="132"/>
      <c r="BK88" s="133" t="s">
        <v>17</v>
      </c>
      <c r="BL88" s="132"/>
      <c r="BM88" s="135" t="str">
        <f t="shared" si="311"/>
        <v>-</v>
      </c>
      <c r="BN88" s="169"/>
      <c r="BO88" s="132"/>
      <c r="BP88" s="133" t="s">
        <v>17</v>
      </c>
      <c r="BQ88" s="132"/>
      <c r="BR88" s="135" t="str">
        <f t="shared" si="312"/>
        <v>-</v>
      </c>
      <c r="BS88" s="169"/>
      <c r="BT88" s="132"/>
      <c r="BU88" s="133" t="s">
        <v>17</v>
      </c>
      <c r="BV88" s="132"/>
      <c r="BW88" s="135" t="str">
        <f t="shared" si="313"/>
        <v>-</v>
      </c>
      <c r="BX88" s="166"/>
      <c r="BY88" s="277"/>
      <c r="BZ88" s="278" t="s">
        <v>17</v>
      </c>
      <c r="CA88" s="277"/>
      <c r="CB88" s="134" t="str">
        <f t="shared" si="314"/>
        <v>-</v>
      </c>
      <c r="CC88" s="170"/>
      <c r="CD88" s="277"/>
      <c r="CE88" s="278" t="s">
        <v>17</v>
      </c>
      <c r="CF88" s="277"/>
      <c r="CG88" s="134" t="str">
        <f t="shared" si="315"/>
        <v>-</v>
      </c>
      <c r="CH88" s="170"/>
      <c r="CI88" s="277"/>
      <c r="CJ88" s="278" t="s">
        <v>17</v>
      </c>
      <c r="CK88" s="277"/>
      <c r="CL88" s="134" t="str">
        <f t="shared" si="316"/>
        <v>-</v>
      </c>
      <c r="CM88" s="170"/>
      <c r="CN88" s="277"/>
      <c r="CO88" s="278" t="s">
        <v>17</v>
      </c>
      <c r="CP88" s="277"/>
      <c r="CQ88" s="134" t="str">
        <f t="shared" si="317"/>
        <v>-</v>
      </c>
      <c r="CR88" s="170"/>
      <c r="CS88" s="277"/>
      <c r="CT88" s="278" t="s">
        <v>17</v>
      </c>
      <c r="CU88" s="277"/>
      <c r="CV88" s="134" t="str">
        <f t="shared" si="318"/>
        <v>-</v>
      </c>
      <c r="CW88" s="170"/>
      <c r="CX88" s="277"/>
      <c r="CY88" s="278" t="s">
        <v>17</v>
      </c>
      <c r="CZ88" s="277"/>
      <c r="DA88" s="134" t="str">
        <f t="shared" si="319"/>
        <v>-</v>
      </c>
      <c r="DB88" s="170"/>
      <c r="DC88" s="277"/>
      <c r="DD88" s="278" t="s">
        <v>17</v>
      </c>
      <c r="DE88" s="277"/>
      <c r="DF88" s="134" t="str">
        <f t="shared" si="320"/>
        <v>-</v>
      </c>
      <c r="DG88" s="170"/>
      <c r="DH88" s="277"/>
      <c r="DI88" s="278" t="s">
        <v>17</v>
      </c>
      <c r="DJ88" s="277"/>
      <c r="DK88" s="134" t="str">
        <f t="shared" si="321"/>
        <v>-</v>
      </c>
      <c r="DL88" s="170"/>
      <c r="DM88" s="277"/>
      <c r="DN88" s="278" t="s">
        <v>17</v>
      </c>
      <c r="DO88" s="277"/>
      <c r="DP88" s="134" t="str">
        <f t="shared" si="322"/>
        <v>-</v>
      </c>
      <c r="DQ88" s="170"/>
      <c r="DR88" s="277"/>
      <c r="DS88" s="278" t="s">
        <v>17</v>
      </c>
      <c r="DT88" s="277"/>
      <c r="DU88" s="134" t="str">
        <f t="shared" si="323"/>
        <v>-</v>
      </c>
      <c r="DV88" s="170"/>
      <c r="DW88" s="277"/>
      <c r="DX88" s="278" t="s">
        <v>17</v>
      </c>
      <c r="DY88" s="277"/>
      <c r="DZ88" s="134" t="str">
        <f t="shared" si="324"/>
        <v>-</v>
      </c>
      <c r="EA88" s="166"/>
      <c r="EB88" s="277"/>
      <c r="EC88" s="278" t="s">
        <v>17</v>
      </c>
      <c r="ED88" s="277"/>
      <c r="EE88" s="134" t="str">
        <f t="shared" si="325"/>
        <v>-</v>
      </c>
      <c r="EF88" s="166"/>
      <c r="EG88" s="277"/>
      <c r="EH88" s="278" t="s">
        <v>17</v>
      </c>
      <c r="EI88" s="277"/>
      <c r="EJ88" s="134" t="str">
        <f t="shared" si="326"/>
        <v>-</v>
      </c>
      <c r="EK88" s="166"/>
      <c r="EL88" s="277"/>
      <c r="EM88" s="278" t="s">
        <v>17</v>
      </c>
      <c r="EN88" s="277"/>
      <c r="EO88" s="134" t="str">
        <f t="shared" si="327"/>
        <v>-</v>
      </c>
      <c r="EP88" s="166"/>
      <c r="EQ88" s="277"/>
      <c r="ER88" s="278" t="s">
        <v>17</v>
      </c>
      <c r="ES88" s="277"/>
      <c r="ET88" s="134" t="str">
        <f t="shared" si="328"/>
        <v>-</v>
      </c>
      <c r="EU88" s="166"/>
      <c r="EV88" s="132"/>
      <c r="EW88" s="133" t="s">
        <v>17</v>
      </c>
      <c r="EX88" s="132"/>
      <c r="EY88" s="135" t="str">
        <f t="shared" si="329"/>
        <v>-</v>
      </c>
      <c r="EZ88" s="166"/>
      <c r="FA88" s="8"/>
    </row>
    <row r="89" spans="1:157" ht="17.399999999999999">
      <c r="A89" s="279"/>
      <c r="B89" s="279"/>
      <c r="C89" s="280"/>
      <c r="D89" s="279"/>
      <c r="E89" s="279"/>
      <c r="F89" s="166"/>
      <c r="G89" s="304">
        <f>SUM(J83:J88)</f>
        <v>0</v>
      </c>
      <c r="H89" s="301"/>
      <c r="I89" s="301"/>
      <c r="J89" s="179"/>
      <c r="K89" s="180"/>
      <c r="L89" s="304">
        <f>SUM(O83:O88)</f>
        <v>0</v>
      </c>
      <c r="M89" s="301"/>
      <c r="N89" s="301"/>
      <c r="O89" s="179"/>
      <c r="P89" s="180"/>
      <c r="Q89" s="304">
        <f>SUM(T83:T88)</f>
        <v>0</v>
      </c>
      <c r="R89" s="301"/>
      <c r="S89" s="301"/>
      <c r="T89" s="179"/>
      <c r="U89" s="180"/>
      <c r="V89" s="304">
        <f>SUM(Y83:Y88)</f>
        <v>0</v>
      </c>
      <c r="W89" s="301"/>
      <c r="X89" s="301"/>
      <c r="Y89" s="179"/>
      <c r="Z89" s="180"/>
      <c r="AA89" s="304">
        <f>SUM(AD83:AD88)</f>
        <v>0</v>
      </c>
      <c r="AB89" s="301"/>
      <c r="AC89" s="301"/>
      <c r="AD89" s="179"/>
      <c r="AE89" s="180"/>
      <c r="AF89" s="304">
        <f>SUM(AI83:AI88)</f>
        <v>0</v>
      </c>
      <c r="AG89" s="301"/>
      <c r="AH89" s="301"/>
      <c r="AI89" s="179"/>
      <c r="AJ89" s="180"/>
      <c r="AK89" s="304">
        <f>SUM(AN83:AN88)</f>
        <v>0</v>
      </c>
      <c r="AL89" s="301"/>
      <c r="AM89" s="301"/>
      <c r="AN89" s="179"/>
      <c r="AO89" s="180"/>
      <c r="AP89" s="304">
        <f>SUM(AS83:AS88)</f>
        <v>0</v>
      </c>
      <c r="AQ89" s="301"/>
      <c r="AR89" s="301"/>
      <c r="AS89" s="181"/>
      <c r="AT89" s="180"/>
      <c r="AU89" s="304">
        <f>SUM(AX83:AX88)</f>
        <v>0</v>
      </c>
      <c r="AV89" s="301"/>
      <c r="AW89" s="301"/>
      <c r="AX89" s="182"/>
      <c r="AY89" s="168"/>
      <c r="AZ89" s="304">
        <f>SUM(BC83:BC88)</f>
        <v>0</v>
      </c>
      <c r="BA89" s="301"/>
      <c r="BB89" s="301"/>
      <c r="BC89" s="182"/>
      <c r="BD89" s="169"/>
      <c r="BE89" s="304">
        <f>SUM(BH83:BH88)</f>
        <v>0</v>
      </c>
      <c r="BF89" s="301"/>
      <c r="BG89" s="301"/>
      <c r="BH89" s="182"/>
      <c r="BI89" s="169"/>
      <c r="BJ89" s="304">
        <f>SUM(BM83:BM88)</f>
        <v>0</v>
      </c>
      <c r="BK89" s="301"/>
      <c r="BL89" s="301"/>
      <c r="BM89" s="182"/>
      <c r="BN89" s="169"/>
      <c r="BO89" s="304">
        <f>SUM(BR83:BR88)</f>
        <v>0</v>
      </c>
      <c r="BP89" s="301"/>
      <c r="BQ89" s="301"/>
      <c r="BR89" s="182"/>
      <c r="BS89" s="169"/>
      <c r="BT89" s="304">
        <f>SUM(BW83:BW88)</f>
        <v>0</v>
      </c>
      <c r="BU89" s="301"/>
      <c r="BV89" s="301"/>
      <c r="BW89" s="182"/>
      <c r="BX89" s="166"/>
      <c r="BY89" s="304">
        <f>SUM(CB83:CB88)</f>
        <v>0</v>
      </c>
      <c r="BZ89" s="301"/>
      <c r="CA89" s="301"/>
      <c r="CB89" s="182"/>
      <c r="CC89" s="183"/>
      <c r="CD89" s="304">
        <f>SUM(CG83:CG88)</f>
        <v>0</v>
      </c>
      <c r="CE89" s="301"/>
      <c r="CF89" s="301"/>
      <c r="CG89" s="182"/>
      <c r="CH89" s="183"/>
      <c r="CI89" s="304">
        <f>SUM(CL83:CL88)</f>
        <v>0</v>
      </c>
      <c r="CJ89" s="301"/>
      <c r="CK89" s="301"/>
      <c r="CL89" s="182"/>
      <c r="CM89" s="183"/>
      <c r="CN89" s="304">
        <f>SUM(CQ83:CQ88)</f>
        <v>0</v>
      </c>
      <c r="CO89" s="301"/>
      <c r="CP89" s="301"/>
      <c r="CQ89" s="182"/>
      <c r="CR89" s="183"/>
      <c r="CS89" s="304">
        <f>SUM(CV83:CV88)</f>
        <v>0</v>
      </c>
      <c r="CT89" s="301"/>
      <c r="CU89" s="301"/>
      <c r="CV89" s="182"/>
      <c r="CW89" s="183"/>
      <c r="CX89" s="304">
        <f>SUM(DA83:DA88)</f>
        <v>0</v>
      </c>
      <c r="CY89" s="301"/>
      <c r="CZ89" s="301"/>
      <c r="DA89" s="182"/>
      <c r="DB89" s="183"/>
      <c r="DC89" s="304">
        <f>SUM(DF83:DF88)</f>
        <v>0</v>
      </c>
      <c r="DD89" s="301"/>
      <c r="DE89" s="301"/>
      <c r="DF89" s="182"/>
      <c r="DG89" s="183"/>
      <c r="DH89" s="304">
        <f>SUM(DK83:DK88)</f>
        <v>0</v>
      </c>
      <c r="DI89" s="301"/>
      <c r="DJ89" s="301"/>
      <c r="DK89" s="182"/>
      <c r="DL89" s="183"/>
      <c r="DM89" s="304">
        <f>SUM(DP83:DP88)</f>
        <v>0</v>
      </c>
      <c r="DN89" s="301"/>
      <c r="DO89" s="301"/>
      <c r="DP89" s="182"/>
      <c r="DQ89" s="183"/>
      <c r="DR89" s="304">
        <f>SUM(DU83:DU88)</f>
        <v>0</v>
      </c>
      <c r="DS89" s="301"/>
      <c r="DT89" s="301"/>
      <c r="DU89" s="182"/>
      <c r="DV89" s="183"/>
      <c r="DW89" s="304">
        <f>SUM(DZ83:DZ88)</f>
        <v>0</v>
      </c>
      <c r="DX89" s="301"/>
      <c r="DY89" s="301"/>
      <c r="DZ89" s="182"/>
      <c r="EA89" s="166"/>
      <c r="EB89" s="304">
        <f>SUM(EE83:EE88)</f>
        <v>0</v>
      </c>
      <c r="EC89" s="301"/>
      <c r="ED89" s="301"/>
      <c r="EE89" s="182"/>
      <c r="EF89" s="166"/>
      <c r="EG89" s="304">
        <f>SUM(EJ83:EJ88)</f>
        <v>0</v>
      </c>
      <c r="EH89" s="301"/>
      <c r="EI89" s="301"/>
      <c r="EJ89" s="182"/>
      <c r="EK89" s="166"/>
      <c r="EL89" s="304">
        <f>SUM(EO83:EO88)</f>
        <v>0</v>
      </c>
      <c r="EM89" s="301"/>
      <c r="EN89" s="301"/>
      <c r="EO89" s="182"/>
      <c r="EP89" s="166"/>
      <c r="EQ89" s="304">
        <f>SUM(ET83:ET88)</f>
        <v>0</v>
      </c>
      <c r="ER89" s="301"/>
      <c r="ES89" s="301"/>
      <c r="ET89" s="182"/>
      <c r="EU89" s="166"/>
      <c r="EV89" s="304">
        <f>SUM(EY83:EY88)</f>
        <v>0</v>
      </c>
      <c r="EW89" s="301"/>
      <c r="EX89" s="301"/>
      <c r="EY89" s="182"/>
      <c r="EZ89" s="166"/>
      <c r="FA89" s="8"/>
    </row>
    <row r="90" spans="1:157" ht="17.399999999999999">
      <c r="A90" s="324" t="s">
        <v>121</v>
      </c>
      <c r="B90" s="301"/>
      <c r="C90" s="301"/>
      <c r="D90" s="301"/>
      <c r="E90" s="301"/>
      <c r="F90" s="166"/>
      <c r="G90" s="281"/>
      <c r="H90" s="281"/>
      <c r="I90" s="281"/>
      <c r="J90" s="282"/>
      <c r="K90" s="216"/>
      <c r="L90" s="281"/>
      <c r="M90" s="281"/>
      <c r="N90" s="281"/>
      <c r="O90" s="282"/>
      <c r="P90" s="216"/>
      <c r="Q90" s="281"/>
      <c r="R90" s="281"/>
      <c r="S90" s="281"/>
      <c r="T90" s="282"/>
      <c r="U90" s="216"/>
      <c r="V90" s="281"/>
      <c r="W90" s="281"/>
      <c r="X90" s="281"/>
      <c r="Y90" s="282"/>
      <c r="Z90" s="216"/>
      <c r="AA90" s="281"/>
      <c r="AB90" s="281"/>
      <c r="AC90" s="281"/>
      <c r="AD90" s="282"/>
      <c r="AE90" s="216"/>
      <c r="AF90" s="281"/>
      <c r="AG90" s="281"/>
      <c r="AH90" s="281"/>
      <c r="AI90" s="282"/>
      <c r="AJ90" s="216"/>
      <c r="AK90" s="281"/>
      <c r="AL90" s="281"/>
      <c r="AM90" s="281"/>
      <c r="AN90" s="282"/>
      <c r="AO90" s="216"/>
      <c r="AP90" s="281"/>
      <c r="AQ90" s="281"/>
      <c r="AR90" s="281"/>
      <c r="AS90" s="282"/>
      <c r="AT90" s="181"/>
      <c r="AU90" s="283"/>
      <c r="AV90" s="283"/>
      <c r="AW90" s="283"/>
      <c r="AX90" s="282"/>
      <c r="AY90" s="168"/>
      <c r="AZ90" s="281"/>
      <c r="BA90" s="281"/>
      <c r="BB90" s="281"/>
      <c r="BC90" s="282"/>
      <c r="BD90" s="169"/>
      <c r="BE90" s="281"/>
      <c r="BF90" s="281"/>
      <c r="BG90" s="281"/>
      <c r="BH90" s="281"/>
      <c r="BI90" s="169"/>
      <c r="BJ90" s="281"/>
      <c r="BK90" s="281"/>
      <c r="BL90" s="281"/>
      <c r="BM90" s="281"/>
      <c r="BN90" s="169"/>
      <c r="BO90" s="281"/>
      <c r="BP90" s="281"/>
      <c r="BQ90" s="281"/>
      <c r="BR90" s="281"/>
      <c r="BS90" s="169"/>
      <c r="BT90" s="281"/>
      <c r="BU90" s="281"/>
      <c r="BV90" s="281"/>
      <c r="BW90" s="281"/>
      <c r="BX90" s="166"/>
      <c r="BY90" s="284"/>
      <c r="BZ90" s="284"/>
      <c r="CA90" s="284"/>
      <c r="CB90" s="172"/>
      <c r="CC90" s="183"/>
      <c r="CD90" s="284"/>
      <c r="CE90" s="284"/>
      <c r="CF90" s="284"/>
      <c r="CG90" s="172"/>
      <c r="CH90" s="183"/>
      <c r="CI90" s="284"/>
      <c r="CJ90" s="284"/>
      <c r="CK90" s="284"/>
      <c r="CL90" s="172"/>
      <c r="CM90" s="183"/>
      <c r="CN90" s="284"/>
      <c r="CO90" s="284"/>
      <c r="CP90" s="284"/>
      <c r="CQ90" s="172"/>
      <c r="CR90" s="183"/>
      <c r="CS90" s="284"/>
      <c r="CT90" s="284"/>
      <c r="CU90" s="284"/>
      <c r="CV90" s="172"/>
      <c r="CW90" s="183"/>
      <c r="CX90" s="284"/>
      <c r="CY90" s="284"/>
      <c r="CZ90" s="284"/>
      <c r="DA90" s="284"/>
      <c r="DB90" s="183"/>
      <c r="DC90" s="284"/>
      <c r="DD90" s="284"/>
      <c r="DE90" s="284"/>
      <c r="DF90" s="172"/>
      <c r="DG90" s="183"/>
      <c r="DH90" s="284"/>
      <c r="DI90" s="284"/>
      <c r="DJ90" s="284"/>
      <c r="DK90" s="284"/>
      <c r="DL90" s="183"/>
      <c r="DM90" s="284"/>
      <c r="DN90" s="284"/>
      <c r="DO90" s="284"/>
      <c r="DP90" s="9"/>
      <c r="DQ90" s="183"/>
      <c r="DR90" s="284"/>
      <c r="DS90" s="284"/>
      <c r="DT90" s="284"/>
      <c r="DU90" s="9"/>
      <c r="DV90" s="183"/>
      <c r="DW90" s="284"/>
      <c r="DX90" s="284"/>
      <c r="DY90" s="284"/>
      <c r="DZ90" s="9"/>
      <c r="EA90" s="166"/>
      <c r="EB90" s="284"/>
      <c r="EC90" s="284"/>
      <c r="ED90" s="284"/>
      <c r="EE90" s="281"/>
      <c r="EF90" s="166"/>
      <c r="EG90" s="284"/>
      <c r="EH90" s="284"/>
      <c r="EI90" s="284"/>
      <c r="EJ90" s="9"/>
      <c r="EK90" s="166"/>
      <c r="EL90" s="284"/>
      <c r="EM90" s="284"/>
      <c r="EN90" s="284"/>
      <c r="EO90" s="9"/>
      <c r="EP90" s="166"/>
      <c r="EQ90" s="284"/>
      <c r="ER90" s="284"/>
      <c r="ES90" s="284"/>
      <c r="ET90" s="9"/>
      <c r="EU90" s="166"/>
      <c r="EV90" s="281"/>
      <c r="EW90" s="281"/>
      <c r="EX90" s="281"/>
      <c r="EY90" s="281"/>
      <c r="EZ90" s="166"/>
      <c r="FA90" s="8"/>
    </row>
    <row r="91" spans="1:157" ht="17.399999999999999">
      <c r="A91" s="12" t="s">
        <v>122</v>
      </c>
      <c r="B91" s="13"/>
      <c r="C91" s="14" t="s">
        <v>17</v>
      </c>
      <c r="D91" s="13"/>
      <c r="E91" s="12" t="s">
        <v>123</v>
      </c>
      <c r="F91" s="166"/>
      <c r="G91" s="13"/>
      <c r="H91" s="14" t="s">
        <v>17</v>
      </c>
      <c r="I91" s="13"/>
      <c r="J91" s="17" t="str">
        <f t="shared" ref="J91:J96" si="330">IF(OR(B91="", D91=""), "-",
  IF(OR(G91="", I91=""), 0,
    IF(AND(G91=B91, I91=D91), 10,
      IF(AND(OR(AND(B91&gt;D91, G91&gt;I91), AND(B91&lt;D91, G91&lt;I91), AND(B91=D91, G91=I91)), OR(G91=B91, I91=D91)), 7,
        IF(OR(AND(B91&gt;D91, G91&gt;I91), AND(B91&lt;D91, G91&lt;I91), AND(B91=D91, G91=I91)), 5,
          IF(OR(G91=B91, I91=D91), 2, 0)
        )
      )
    )
  )
)</f>
        <v>-</v>
      </c>
      <c r="K91" s="220"/>
      <c r="L91" s="13"/>
      <c r="M91" s="14" t="s">
        <v>17</v>
      </c>
      <c r="N91" s="13"/>
      <c r="O91" s="17" t="str">
        <f t="shared" ref="O91:O96" si="331">IF(OR(B91="", D91=""), "-",
  IF(OR(L91="", N91=""), 0,
    IF(AND(L91=B91, N91=D91), 10,
      IF(AND(OR(AND(B91&gt;D91, L91&gt;N91), AND(B91&lt;D91, L91&lt;N91), AND(B91=D91, L91=N91)), OR(L91=B91, N91=D91)), 7,
        IF(OR(AND(B91&gt;D91, L91&gt;N91), AND(B91&lt;D91, L91&lt;N91), AND(B91=D91, L91=N91)), 5,
          IF(OR(L91=B91, N91=D91), 2, 0)
        )
      )
    )
  )
)</f>
        <v>-</v>
      </c>
      <c r="P91" s="220"/>
      <c r="Q91" s="13"/>
      <c r="R91" s="14" t="s">
        <v>17</v>
      </c>
      <c r="S91" s="13"/>
      <c r="T91" s="17" t="str">
        <f t="shared" ref="T91:T96" si="332">IF(OR(B91="", D91=""), "-",
  IF(OR(Q91="", S91=""), 0,
    IF(AND(Q91=B91, S91=D91), 10,
      IF(AND(OR(AND(B91&gt;D91, Q91&gt;S91), AND(B91&lt;D91, Q91&lt;S91), AND(B91=D91, Q91=S91)), OR(Q91=B91, S91=D91)), 7,
        IF(OR(AND(B91&gt;D91, Q91&gt;S91), AND(B91&lt;D91, Q91&lt;S91), AND(B91=D91, Q91=S91)), 5,
          IF(OR(Q91=B91, S91=D91), 2, 0)
        )
      )
    )
  )
)</f>
        <v>-</v>
      </c>
      <c r="U91" s="220"/>
      <c r="V91" s="13"/>
      <c r="W91" s="14" t="s">
        <v>17</v>
      </c>
      <c r="X91" s="13"/>
      <c r="Y91" s="17" t="str">
        <f t="shared" ref="Y91:Y96" si="333">IF(OR(B91="", D91=""), "-",
  IF(OR(V91="", X91=""), 0,
    IF(AND(V91=B91, X91=D91), 10,
      IF(AND(OR(AND(B91&gt;D91, V91&gt;X91), AND(B91&lt;D91, V91&lt;X91), AND(B91=D91, V91=X91)), OR(V91=B91, X91=D91)), 7,
        IF(OR(AND(B91&gt;D91, V91&gt;X91), AND(B91&lt;D91, V91&lt;X91), AND(B91=D91, V91=X91)), 5,
          IF(OR(V91=B91, X91=D91), 2, 0)
        )
      )
    )
  )
)</f>
        <v>-</v>
      </c>
      <c r="Z91" s="220"/>
      <c r="AA91" s="13"/>
      <c r="AB91" s="14" t="s">
        <v>17</v>
      </c>
      <c r="AC91" s="13"/>
      <c r="AD91" s="17" t="str">
        <f t="shared" ref="AD91:AD96" si="334">IF(OR(B91="", D91=""), "-",
  IF(OR(AA91="", AC91=""), 0,
    IF(AND(AA91=B91, AC91=D91), 10,
      IF(AND(OR(AND(B91&gt;D91, AA91&gt;AC91), AND(B91&lt;D91, AA91&lt;AC91), AND(B91=D91, AA91=AC91)), OR(AA91=B91, AC91=D91)), 7,
        IF(OR(AND(B91&gt;D91, AA91&gt;AC91), AND(B91&lt;D91, AA91&lt;AC91), AND(B91=D91, AA91=AC91)), 5,
          IF(OR(AA91=B91, AC91=D91), 2, 0)
        )
      )
    )
  )
)</f>
        <v>-</v>
      </c>
      <c r="AE91" s="220"/>
      <c r="AF91" s="13"/>
      <c r="AG91" s="14" t="s">
        <v>17</v>
      </c>
      <c r="AH91" s="13"/>
      <c r="AI91" s="17" t="str">
        <f t="shared" ref="AI91:AI96" si="335">IF(OR(B91="", D91=""), "-",
  IF(OR(AF91="", AH91=""), 0,
    IF(AND(AF91=B91, AH91=D91), 10,
      IF(AND(OR(AND(B91&gt;D91, AF91&gt;AH91), AND(B91&lt;D91, AF91&lt;AH91), AND(B91=D91, AF91=AH91)), OR(AF91=B91, AH91=D91)), 7,
        IF(OR(AND(B91&gt;D91, AF91&gt;AH91), AND(B91&lt;D91, AF91&lt;AH91), AND(B91=D91, AF91=AH91)), 5,
          IF(OR(AF91=B91, AH91=D91), 2, 0)
        )
      )
    )
  )
)</f>
        <v>-</v>
      </c>
      <c r="AJ91" s="220"/>
      <c r="AK91" s="13"/>
      <c r="AL91" s="14" t="s">
        <v>17</v>
      </c>
      <c r="AM91" s="13"/>
      <c r="AN91" s="17" t="str">
        <f t="shared" ref="AN91:AN96" si="336">IF(OR(B91="", D91=""), "-",
  IF(OR(AK91="", AM91=""), 0,
    IF(AND(AK91=B91, AM91=D91), 10,
      IF(AND(OR(AND(B91&gt;D91, AK91&gt;AM91), AND(B91&lt;D91, AK91&lt;AM91), AND(B91=D91, AK91=AM91)), OR(AK91=B91, AM91=D91)), 7,
        IF(OR(AND(B91&gt;D91, AK91&gt;AM91), AND(B91&lt;D91, AK91&lt;AM91), AND(B91=D91, AK91=AM91)), 5,
          IF(OR(AK91=B91, AM91=D91), 2, 0)
        )
      )
    )
  )
)</f>
        <v>-</v>
      </c>
      <c r="AO91" s="220"/>
      <c r="AP91" s="13"/>
      <c r="AQ91" s="14" t="s">
        <v>17</v>
      </c>
      <c r="AR91" s="13"/>
      <c r="AS91" s="17" t="str">
        <f t="shared" ref="AS91:AS96" si="337">IF(OR(B91="", D91=""), "-",
  IF(OR(AP91="", AR91=""), 0,
    IF(AND(AP91=B91, AR91=D91), 10,
      IF(AND(OR(AND(B91&gt;D91, AP91&gt;AR91), AND(B91&lt;D91, AP91&lt;AR91), AND(B91=D91, AP91=AR91)), OR(AP91=B91, AR91=D91)), 7,
        IF(OR(AND(B91&gt;D91, AP91&gt;AR91), AND(B91&lt;D91, AP91&lt;AR91), AND(B91=D91, AP91=AR91)), 5,
          IF(OR(AP91=B91, AR91=D91), 2, 0)
        )
      )
    )
  )
)</f>
        <v>-</v>
      </c>
      <c r="AT91" s="220"/>
      <c r="AU91" s="13"/>
      <c r="AV91" s="14" t="s">
        <v>17</v>
      </c>
      <c r="AW91" s="13"/>
      <c r="AX91" s="17" t="str">
        <f t="shared" ref="AX91:AX96" si="338">IF(OR(B91="", D91=""), "-",
  IF(OR(AU91="", AW91=""), 0,
    IF(AND(AU91=B91, AW91=D91), 10,
      IF(AND(OR(AND(B91&gt;D91, AU91&gt;AW91), AND(B91&lt;D91, AU91&lt;AW91), AND(B91=D91, AU91=AW91)), OR(AU91=B91, AW91=D91)), 7,
        IF(OR(AND(B91&gt;D91, AU91&gt;AW91), AND(B91&lt;D91, AU91&lt;AW91), AND(B91=D91, AU91=AW91)), 5,
          IF(OR(AU91=B91, AW91=D91), 2, 0)
        )
      )
    )
  )
)</f>
        <v>-</v>
      </c>
      <c r="AY91" s="168"/>
      <c r="AZ91" s="13"/>
      <c r="BA91" s="14" t="s">
        <v>17</v>
      </c>
      <c r="BB91" s="13"/>
      <c r="BC91" s="17" t="str">
        <f t="shared" ref="BC91:BC96" si="339">IF(OR(B91="", D91=""), "-",
  IF(OR(AZ91="", BB91=""), 0,
    IF(AND(AZ91=B91, BB91=D91), 10,
      IF(AND(OR(AND(B91&gt;D91, AZ91&gt;BB91), AND(B91&lt;D91, AZ91&lt;BB91), AND(B91=D91, AZ91=BB91)), OR(AZ91=B91, BB91=D91)), 7,
        IF(OR(AND(B91&gt;D91, AZ91&gt;BB91), AND(B91&lt;D91, AZ91&lt;BB91), AND(B91=D91, AZ91=BB91)), 5,
          IF(OR(AZ91=B91, BB91=D91), 2, 0)
        )
      )
    )
  )
)</f>
        <v>-</v>
      </c>
      <c r="BD91" s="169"/>
      <c r="BE91" s="13"/>
      <c r="BF91" s="14" t="s">
        <v>17</v>
      </c>
      <c r="BG91" s="13"/>
      <c r="BH91" s="19" t="str">
        <f t="shared" ref="BH91:BH96" si="340">IF(OR(B91="", D91=""), "-",
  IF(OR(BE91="", BG91=""), 0,
    IF(AND(BE91=B91, BG91=D91), 10,
      IF(AND(OR(AND(B91&gt;D91, BE91&gt;BG91), AND(B91&lt;D91, BE91&lt;BG91), AND(B91=D91, BE91=BG91)), OR(BE91=B91, BG91=D91)), 7,
        IF(OR(AND(B91&gt;D91, BE91&gt;BG91), AND(B91&lt;D91, BE91&lt;BG91), AND(B91=D91, BE91=BG91)), 5,
          IF(OR(BE91=B91, BG91=D91), 2, 0)
        )
      )
    )
  )
)</f>
        <v>-</v>
      </c>
      <c r="BI91" s="169"/>
      <c r="BJ91" s="13"/>
      <c r="BK91" s="14" t="s">
        <v>17</v>
      </c>
      <c r="BL91" s="13"/>
      <c r="BM91" s="19" t="str">
        <f t="shared" ref="BM91:BM96" si="341">IF(OR(B91="", D91=""), "-",
  IF(OR(BJ91="", BL91=""), 0,
    IF(AND(BJ91=B91, BL91=D91), 10,
      IF(AND(OR(AND(B91&gt;D91, BJ91&gt;BL91), AND(B91&lt;D91, BJ91&lt;BL91), AND(B91=D91, BJ91=BL91)), OR(BJ91=B91, BL91=D91)), 7,
        IF(OR(AND(B91&gt;D91, BJ91&gt;BL91), AND(B91&lt;D91, BJ91&lt;BL91), AND(B91=D91, BJ91=BL91)), 5,
          IF(OR(BJ91=B91, BL91=D91), 2, 0)
        )
      )
    )
  )
)</f>
        <v>-</v>
      </c>
      <c r="BN91" s="169"/>
      <c r="BO91" s="13"/>
      <c r="BP91" s="14" t="s">
        <v>17</v>
      </c>
      <c r="BQ91" s="13"/>
      <c r="BR91" s="19" t="str">
        <f t="shared" ref="BR91:BR96" si="342">IF(OR(B91="", D91=""), "-",
  IF(OR(BO91="", BQ91=""), 0,
    IF(AND(BO91=B91, BQ91=D91), 10,
      IF(AND(OR(AND(B91&gt;D91, BO91&gt;BQ91), AND(B91&lt;D91, BO91&lt;BQ91), AND(B91=D91, BO91=BQ91)), OR(BO91=B91, BQ91=D91)), 7,
        IF(OR(AND(B91&gt;D91, BO91&gt;BQ91), AND(B91&lt;D91, BO91&lt;BQ91), AND(B91=D91, BO91=BQ91)), 5,
          IF(OR(BO91=B91, BQ91=D91), 2, 0)
        )
      )
    )
  )
)</f>
        <v>-</v>
      </c>
      <c r="BS91" s="169"/>
      <c r="BT91" s="13"/>
      <c r="BU91" s="14" t="s">
        <v>17</v>
      </c>
      <c r="BV91" s="13"/>
      <c r="BW91" s="19" t="str">
        <f t="shared" ref="BW91:BW96" si="343">IF(OR(B91="", D91=""), "-",
  IF(OR(BT91="", BV91=""), 0,
    IF(AND(BT91=B91, BV91=D91), 10,
      IF(AND(OR(AND(B91&gt;D91, BT91&gt;BV91), AND(B91&lt;D91, BT91&lt;BV91), AND(B91=D91, BT91=BV91)), OR(BT91=B91, BV91=D91)), 7,
        IF(OR(AND(B91&gt;D91, BT91&gt;BV91), AND(B91&lt;D91, BT91&lt;BV91), AND(B91=D91, BT91=BV91)), 5,
          IF(OR(BT91=B91, BV91=D91), 2, 0)
        )
      )
    )
  )
)</f>
        <v>-</v>
      </c>
      <c r="BX91" s="166"/>
      <c r="BY91" s="175"/>
      <c r="BZ91" s="16" t="s">
        <v>17</v>
      </c>
      <c r="CA91" s="175"/>
      <c r="CB91" s="17" t="str">
        <f t="shared" ref="CB91:CB96" si="344">IF(OR(B91="", D91=""), "-",
  IF(OR(BY91="", CA91=""), 0,
    IF(AND(BY91=B91, CA91=D91), 10,
      IF(AND(OR(AND(B91&gt;D91, BY91&gt;CA91), AND(B91&lt;D91, BY91&lt;CA91), AND(B91=D91, BY91=CA91)), OR(BY91=B91, CA91=D91)), 7,
        IF(OR(AND(B91&gt;D91, BY91&gt;CA91), AND(B91&lt;D91, BY91&lt;CA91), AND(B91=D91, BY91=CA91)), 5,
          IF(OR(BY91=B91, CA91=D91), 2, 0)
        )
      )
    )
  )
)</f>
        <v>-</v>
      </c>
      <c r="CC91" s="170"/>
      <c r="CD91" s="175"/>
      <c r="CE91" s="16" t="s">
        <v>17</v>
      </c>
      <c r="CF91" s="175"/>
      <c r="CG91" s="17" t="str">
        <f t="shared" ref="CG91:CG96" si="345">IF(OR(B91="", D91=""), "-",
  IF(OR(CD91="", CF91=""), 0,
    IF(AND(CD91=B91, CF91=D91), 10,
      IF(AND(OR(AND(B91&gt;D91, CD91&gt;CF91), AND(B91&lt;D91, CD91&lt;CF91), AND(B91=D91, CD91=CF91)), OR(CD91=B91, CF91=D91)), 7,
        IF(OR(AND(B91&gt;D91, CD91&gt;CF91), AND(B91&lt;D91, CD91&lt;CF91), AND(B91=D91, CD91=CF91)), 5,
          IF(OR(CD91=B91, CF91=D91), 2, 0)
        )
      )
    )
  )
)</f>
        <v>-</v>
      </c>
      <c r="CH91" s="170"/>
      <c r="CI91" s="175"/>
      <c r="CJ91" s="16" t="s">
        <v>17</v>
      </c>
      <c r="CK91" s="175"/>
      <c r="CL91" s="17" t="str">
        <f t="shared" ref="CL91:CL96" si="346">IF(OR(B91="", D91=""), "-",
  IF(OR(CI91="", CK91=""), 0,
    IF(AND(CI91=B91, CK91=D91), 10,
      IF(AND(OR(AND(B91&gt;D91, CI91&gt;CK91), AND(B91&lt;D91, CI91&lt;CK91), AND(B91=D91, CI91=CK91)), OR(CI91=B91, CK91=D91)), 7,
        IF(OR(AND(B91&gt;D91, CI91&gt;CK91), AND(B91&lt;D91, CI91&lt;CK91), AND(B91=D91, CI91=CK91)), 5,
          IF(OR(CI91=B91, CK91=D91), 2, 0)
        )
      )
    )
  )
)</f>
        <v>-</v>
      </c>
      <c r="CM91" s="170"/>
      <c r="CN91" s="175"/>
      <c r="CO91" s="16" t="s">
        <v>17</v>
      </c>
      <c r="CP91" s="175"/>
      <c r="CQ91" s="17" t="str">
        <f t="shared" ref="CQ91:CQ96" si="347">IF(OR(B91="", D91=""), "-",
  IF(OR(CN91="", CP91=""), 0,
    IF(AND(CN91=B91, CP91=D91), 10,
      IF(AND(OR(AND(B91&gt;D91, CN91&gt;CP91), AND(B91&lt;D91, CN91&lt;CP91), AND(B91=D91, CN91=CP91)), OR(CN91=B91, CP91=D91)), 7,
        IF(OR(AND(B91&gt;D91, CN91&gt;CP91), AND(B91&lt;D91, CN91&lt;CP91), AND(B91=D91, CN91=CP91)), 5,
          IF(OR(CN91=B91, CP91=D91), 2, 0)
        )
      )
    )
  )
)</f>
        <v>-</v>
      </c>
      <c r="CR91" s="170"/>
      <c r="CS91" s="175"/>
      <c r="CT91" s="16" t="s">
        <v>17</v>
      </c>
      <c r="CU91" s="175"/>
      <c r="CV91" s="17" t="str">
        <f t="shared" ref="CV91:CV96" si="348">IF(OR(B91="", D91=""), "-",
  IF(OR(CS91="", CU91=""), 0,
    IF(AND(CS91=B91, CU91=D91), 10,
      IF(AND(OR(AND(B91&gt;D91, CS91&gt;CU91), AND(B91&lt;D91, CS91&lt;CU91), AND(B91=D91, CS91=CU91)), OR(CS91=B91, CU91=D91)), 7,
        IF(OR(AND(B91&gt;D91, CS91&gt;CU91), AND(B91&lt;D91, CS91&lt;CU91), AND(B91=D91, CS91=CU91)), 5,
          IF(OR(CS91=B91, CU91=D91), 2, 0)
        )
      )
    )
  )
)</f>
        <v>-</v>
      </c>
      <c r="CW91" s="170"/>
      <c r="CX91" s="175"/>
      <c r="CY91" s="16" t="s">
        <v>17</v>
      </c>
      <c r="CZ91" s="175"/>
      <c r="DA91" s="17" t="str">
        <f t="shared" ref="DA91:DA96" si="349">IF(OR(B91="", D91=""), "-",
  IF(OR(CX91="", CZ91=""), 0,
    IF(AND(CX91=B91, CZ91=D91), 10,
      IF(AND(OR(AND(B91&gt;D91, CX91&gt;CZ91), AND(B91&lt;D91, CX91&lt;CZ91), AND(B91=D91, CX91=CZ91)), OR(CX91=B91, CZ91=D91)), 7,
        IF(OR(AND(B91&gt;D91, CX91&gt;CZ91), AND(B91&lt;D91, CX91&lt;CZ91), AND(B91=D91, CX91=CZ91)), 5,
          IF(OR(CX91=B91, CZ91=D91), 2, 0)
        )
      )
    )
  )
)</f>
        <v>-</v>
      </c>
      <c r="DB91" s="170"/>
      <c r="DC91" s="175"/>
      <c r="DD91" s="16" t="s">
        <v>17</v>
      </c>
      <c r="DE91" s="175"/>
      <c r="DF91" s="17" t="str">
        <f t="shared" ref="DF91:DF96" si="350">IF(OR(B91="", D91=""), "-",
  IF(OR(DC91="", DE91=""), 0,
    IF(AND(DC91=B91, DE91=D91), 10,
      IF(AND(OR(AND(B91&gt;D91, DC91&gt;DE91), AND(B91&lt;D91, DC91&lt;DE91), AND(B91=D91, DC91=DE91)), OR(DC91=B91, DE91=D91)), 7,
        IF(OR(AND(B91&gt;D91, DC91&gt;DE91), AND(B91&lt;D91, DC91&lt;DE91), AND(B91=D91, DC91=DE91)), 5,
          IF(OR(DC91=B91, DE91=D91), 2, 0)
        )
      )
    )
  )
)</f>
        <v>-</v>
      </c>
      <c r="DG91" s="170"/>
      <c r="DH91" s="175"/>
      <c r="DI91" s="16" t="s">
        <v>17</v>
      </c>
      <c r="DJ91" s="175"/>
      <c r="DK91" s="17" t="str">
        <f t="shared" ref="DK91:DK96" si="351">IF(OR(B91="", D91=""), "-",
  IF(OR(DH91="", DJ91=""), 0,
    IF(AND(DH91=B91, DJ91=D91), 10,
      IF(AND(OR(AND(B91&gt;D91, DH91&gt;DJ91), AND(B91&lt;D91, DH91&lt;DJ91), AND(B91=D91, DH91=DJ91)), OR(DH91=B91, DJ91=D91)), 7,
        IF(OR(AND(B91&gt;D91, DH91&gt;DJ91), AND(B91&lt;D91, DH91&lt;DJ91), AND(B91=D91, DH91=DJ91)), 5,
          IF(OR(DH91=B91, DJ91=D91), 2, 0)
        )
      )
    )
  )
)</f>
        <v>-</v>
      </c>
      <c r="DL91" s="170"/>
      <c r="DM91" s="175"/>
      <c r="DN91" s="16" t="s">
        <v>17</v>
      </c>
      <c r="DO91" s="175"/>
      <c r="DP91" s="17" t="str">
        <f t="shared" ref="DP91:DP96" si="352">IF(OR(B91="", D91=""), "-",
  IF(OR(DM91="", DO91=""), 0,
    IF(AND(DM91=B91, DO91=D91), 10,
      IF(AND(OR(AND(B91&gt;D91, DM91&gt;DO91), AND(B91&lt;D91, DM91&lt;DO91), AND(B91=D91, DM91=DO91)), OR(DM91=B91, DO91=D91)), 7,
        IF(OR(AND(B91&gt;D91, DM91&gt;DO91), AND(B91&lt;D91, DM91&lt;DO91), AND(B91=D91, DM91=DO91)), 5,
          IF(OR(DM91=B91, DO91=D91), 2, 0)
        )
      )
    )
  )
)</f>
        <v>-</v>
      </c>
      <c r="DQ91" s="170"/>
      <c r="DR91" s="175"/>
      <c r="DS91" s="16" t="s">
        <v>17</v>
      </c>
      <c r="DT91" s="175"/>
      <c r="DU91" s="17" t="str">
        <f t="shared" ref="DU91:DU96" si="353">IF(OR(B91="", D91=""), "-",
  IF(OR(DR91="", DT91=""), 0,
    IF(AND(DR91=B91, DT91=D91), 10,
      IF(AND(OR(AND(B91&gt;D91, DR91&gt;DT91), AND(B91&lt;D91, DR91&lt;DT91), AND(B91=D91, DR91=DT91)), OR(DR91=B91, DT91=D91)), 7,
        IF(OR(AND(B91&gt;D91, DR91&gt;DT91), AND(B91&lt;D91, DR91&lt;DT91), AND(B91=D91, DR91=DT91)), 5,
          IF(OR(DR91=B91, DT91=D91), 2, 0)
        )
      )
    )
  )
)</f>
        <v>-</v>
      </c>
      <c r="DV91" s="170"/>
      <c r="DW91" s="175"/>
      <c r="DX91" s="16" t="s">
        <v>17</v>
      </c>
      <c r="DY91" s="175"/>
      <c r="DZ91" s="17" t="str">
        <f t="shared" ref="DZ91:DZ96" si="354">IF(OR(B91="", D91=""), "-",
  IF(OR(DW91="", DY91=""), 0,
    IF(AND(DW91=B91, DY91=D91), 10,
      IF(AND(OR(AND(B91&gt;D91, DW91&gt;DY91), AND(B91&lt;D91, DW91&lt;DY91), AND(B91=D91, DW91=DY91)), OR(DW91=B91, DY91=D91)), 7,
        IF(OR(AND(B91&gt;D91, DW91&gt;DY91), AND(B91&lt;D91, DW91&lt;DY91), AND(B91=D91, DW91=DY91)), 5,
          IF(OR(DW91=B91, DY91=D91), 2, 0)
        )
      )
    )
  )
)</f>
        <v>-</v>
      </c>
      <c r="EA91" s="166"/>
      <c r="EB91" s="175"/>
      <c r="EC91" s="16" t="s">
        <v>17</v>
      </c>
      <c r="ED91" s="175"/>
      <c r="EE91" s="17" t="str">
        <f t="shared" ref="EE91:EE96" si="355">IF(OR(B91="", D91=""), "-",
  IF(OR(EB91="", ED91=""), 0,
    IF(AND(EB91=B91, ED91=D91), 10,
      IF(AND(OR(AND(B91&gt;D91, EB91&gt;ED91), AND(B91&lt;D91, EB91&lt;ED91), AND(B91=D91, EB91=ED91)), OR(EB91=B91, ED91=D91)), 7,
        IF(OR(AND(B91&gt;D91, EB91&gt;ED91), AND(B91&lt;D91, EB91&lt;ED91), AND(B91=D91, EB91=ED91)), 5,
          IF(OR(EB91=B91, ED91=D91), 2, 0)
        )
      )
    )
  )
)</f>
        <v>-</v>
      </c>
      <c r="EF91" s="166"/>
      <c r="EG91" s="175"/>
      <c r="EH91" s="16" t="s">
        <v>17</v>
      </c>
      <c r="EI91" s="175"/>
      <c r="EJ91" s="17" t="str">
        <f t="shared" ref="EJ91:EJ96" si="356">IF(OR(B91="", D91=""), "-",
  IF(OR(EG91="", EI91=""), 0,
    IF(AND(EG91=B91, EI91=D91), 10,
      IF(AND(OR(AND(B91&gt;D91, EG91&gt;EI91), AND(B91&lt;D91, EG91&lt;EI91), AND(B91=D91, EG91=EI91)), OR(EG91=B91, EI91=D91)), 7,
        IF(OR(AND(B91&gt;D91, EG91&gt;EI91), AND(B91&lt;D91, EG91&lt;EI91), AND(B91=D91, EG91=EI91)), 5,
          IF(OR(EG91=B91, EI91=D91), 2, 0)
        )
      )
    )
  )
)</f>
        <v>-</v>
      </c>
      <c r="EK91" s="166"/>
      <c r="EL91" s="175"/>
      <c r="EM91" s="16" t="s">
        <v>17</v>
      </c>
      <c r="EN91" s="175"/>
      <c r="EO91" s="17" t="str">
        <f t="shared" ref="EO91:EO96" si="357">IF(OR(B91="", D91=""), "-",
  IF(OR(EL91="", EN91=""), 0,
    IF(AND(EL91=B91, EN91=D91), 10,
      IF(AND(OR(AND(B91&gt;D91, EL91&gt;EN91), AND(B91&lt;D91, EL91&lt;EN91), AND(B91=D91, EL91=EN91)), OR(EL91=B91, EN91=D91)), 7,
        IF(OR(AND(B91&gt;D91, EL91&gt;EN91), AND(B91&lt;D91, EL91&lt;EN91), AND(B91=D91, EL91=EN91)), 5,
          IF(OR(EL91=B91, EN91=D91), 2, 0)
        )
      )
    )
  )
)</f>
        <v>-</v>
      </c>
      <c r="EP91" s="166"/>
      <c r="EQ91" s="175"/>
      <c r="ER91" s="16" t="s">
        <v>17</v>
      </c>
      <c r="ES91" s="175"/>
      <c r="ET91" s="17" t="str">
        <f t="shared" ref="ET91:ET96" si="358">IF(OR(B91="", D91=""), "-",
  IF(OR(EQ91="", ES91=""), 0,
    IF(AND(EQ91=B91, ES91=D91), 10,
      IF(AND(OR(AND(B91&gt;D91, EQ91&gt;ES91), AND(B91&lt;D91, EQ91&lt;ES91), AND(B91=D91, EQ91=ES91)), OR(EQ91=B91, ES91=D91)), 7,
        IF(OR(AND(B91&gt;D91, EQ91&gt;ES91), AND(B91&lt;D91, EQ91&lt;ES91), AND(B91=D91, EQ91=ES91)), 5,
          IF(OR(EQ91=B91, ES91=D91), 2, 0)
        )
      )
    )
  )
)</f>
        <v>-</v>
      </c>
      <c r="EU91" s="166"/>
      <c r="EV91" s="13"/>
      <c r="EW91" s="14" t="s">
        <v>17</v>
      </c>
      <c r="EX91" s="13"/>
      <c r="EY91" s="19" t="str">
        <f t="shared" ref="EY91:EY96" si="359">IF(OR(B91="", D91=""), "-",
  IF(OR(EV91="", EX91=""), 0,
    IF(AND(EV91=B91, EX91=D91), 10,
      IF(AND(OR(AND(B91&gt;D91, EV91&gt;EX91), AND(B91&lt;D91, EV91&lt;EX91), AND(B91=D91, EV91=EX91)), OR(EV91=B91, EX91=D91)), 7,
        IF(OR(AND(B91&gt;D91, EV91&gt;EX91), AND(B91&lt;D91, EV91&lt;EX91), AND(B91=D91, EV91=EX91)), 5,
          IF(OR(EV91=B91, EX91=D91), 2, 0)
        )
      )
    )
  )
)</f>
        <v>-</v>
      </c>
      <c r="EZ91" s="166"/>
      <c r="FA91" s="8"/>
    </row>
    <row r="92" spans="1:157" ht="17.399999999999999">
      <c r="A92" s="20" t="s">
        <v>124</v>
      </c>
      <c r="B92" s="21"/>
      <c r="C92" s="22" t="s">
        <v>17</v>
      </c>
      <c r="D92" s="21"/>
      <c r="E92" s="20" t="s">
        <v>125</v>
      </c>
      <c r="F92" s="166"/>
      <c r="G92" s="21"/>
      <c r="H92" s="22" t="s">
        <v>17</v>
      </c>
      <c r="I92" s="21"/>
      <c r="J92" s="25" t="str">
        <f t="shared" si="330"/>
        <v>-</v>
      </c>
      <c r="K92" s="220"/>
      <c r="L92" s="21"/>
      <c r="M92" s="22" t="s">
        <v>17</v>
      </c>
      <c r="N92" s="21"/>
      <c r="O92" s="25" t="str">
        <f t="shared" si="331"/>
        <v>-</v>
      </c>
      <c r="P92" s="220"/>
      <c r="Q92" s="21"/>
      <c r="R92" s="22" t="s">
        <v>17</v>
      </c>
      <c r="S92" s="21"/>
      <c r="T92" s="25" t="str">
        <f t="shared" si="332"/>
        <v>-</v>
      </c>
      <c r="U92" s="220"/>
      <c r="V92" s="21"/>
      <c r="W92" s="22" t="s">
        <v>17</v>
      </c>
      <c r="X92" s="21"/>
      <c r="Y92" s="25" t="str">
        <f t="shared" si="333"/>
        <v>-</v>
      </c>
      <c r="Z92" s="220"/>
      <c r="AA92" s="21"/>
      <c r="AB92" s="22" t="s">
        <v>17</v>
      </c>
      <c r="AC92" s="21"/>
      <c r="AD92" s="25" t="str">
        <f t="shared" si="334"/>
        <v>-</v>
      </c>
      <c r="AE92" s="220"/>
      <c r="AF92" s="21"/>
      <c r="AG92" s="22" t="s">
        <v>17</v>
      </c>
      <c r="AH92" s="21"/>
      <c r="AI92" s="25" t="str">
        <f t="shared" si="335"/>
        <v>-</v>
      </c>
      <c r="AJ92" s="220"/>
      <c r="AK92" s="21"/>
      <c r="AL92" s="22" t="s">
        <v>17</v>
      </c>
      <c r="AM92" s="21"/>
      <c r="AN92" s="25" t="str">
        <f t="shared" si="336"/>
        <v>-</v>
      </c>
      <c r="AO92" s="220"/>
      <c r="AP92" s="21"/>
      <c r="AQ92" s="22" t="s">
        <v>17</v>
      </c>
      <c r="AR92" s="21"/>
      <c r="AS92" s="25" t="str">
        <f t="shared" si="337"/>
        <v>-</v>
      </c>
      <c r="AT92" s="220"/>
      <c r="AU92" s="21"/>
      <c r="AV92" s="22" t="s">
        <v>17</v>
      </c>
      <c r="AW92" s="21"/>
      <c r="AX92" s="25" t="str">
        <f t="shared" si="338"/>
        <v>-</v>
      </c>
      <c r="AY92" s="168"/>
      <c r="AZ92" s="21"/>
      <c r="BA92" s="22" t="s">
        <v>17</v>
      </c>
      <c r="BB92" s="21"/>
      <c r="BC92" s="25" t="str">
        <f t="shared" si="339"/>
        <v>-</v>
      </c>
      <c r="BD92" s="169"/>
      <c r="BE92" s="21"/>
      <c r="BF92" s="22" t="s">
        <v>17</v>
      </c>
      <c r="BG92" s="21"/>
      <c r="BH92" s="26" t="str">
        <f t="shared" si="340"/>
        <v>-</v>
      </c>
      <c r="BI92" s="169"/>
      <c r="BJ92" s="21"/>
      <c r="BK92" s="22" t="s">
        <v>17</v>
      </c>
      <c r="BL92" s="21"/>
      <c r="BM92" s="26" t="str">
        <f t="shared" si="341"/>
        <v>-</v>
      </c>
      <c r="BN92" s="169"/>
      <c r="BO92" s="21"/>
      <c r="BP92" s="22" t="s">
        <v>17</v>
      </c>
      <c r="BQ92" s="21"/>
      <c r="BR92" s="26" t="str">
        <f t="shared" si="342"/>
        <v>-</v>
      </c>
      <c r="BS92" s="169"/>
      <c r="BT92" s="21"/>
      <c r="BU92" s="22" t="s">
        <v>17</v>
      </c>
      <c r="BV92" s="21"/>
      <c r="BW92" s="26" t="str">
        <f t="shared" si="343"/>
        <v>-</v>
      </c>
      <c r="BX92" s="166"/>
      <c r="BY92" s="177"/>
      <c r="BZ92" s="24" t="s">
        <v>17</v>
      </c>
      <c r="CA92" s="177"/>
      <c r="CB92" s="25" t="str">
        <f t="shared" si="344"/>
        <v>-</v>
      </c>
      <c r="CC92" s="170"/>
      <c r="CD92" s="177"/>
      <c r="CE92" s="24" t="s">
        <v>17</v>
      </c>
      <c r="CF92" s="177"/>
      <c r="CG92" s="25" t="str">
        <f t="shared" si="345"/>
        <v>-</v>
      </c>
      <c r="CH92" s="170"/>
      <c r="CI92" s="177"/>
      <c r="CJ92" s="24" t="s">
        <v>17</v>
      </c>
      <c r="CK92" s="177"/>
      <c r="CL92" s="25" t="str">
        <f t="shared" si="346"/>
        <v>-</v>
      </c>
      <c r="CM92" s="170"/>
      <c r="CN92" s="177"/>
      <c r="CO92" s="24" t="s">
        <v>17</v>
      </c>
      <c r="CP92" s="177"/>
      <c r="CQ92" s="25" t="str">
        <f t="shared" si="347"/>
        <v>-</v>
      </c>
      <c r="CR92" s="170"/>
      <c r="CS92" s="177"/>
      <c r="CT92" s="24" t="s">
        <v>17</v>
      </c>
      <c r="CU92" s="177"/>
      <c r="CV92" s="25" t="str">
        <f t="shared" si="348"/>
        <v>-</v>
      </c>
      <c r="CW92" s="170"/>
      <c r="CX92" s="177"/>
      <c r="CY92" s="24" t="s">
        <v>17</v>
      </c>
      <c r="CZ92" s="177"/>
      <c r="DA92" s="25" t="str">
        <f t="shared" si="349"/>
        <v>-</v>
      </c>
      <c r="DB92" s="170"/>
      <c r="DC92" s="177"/>
      <c r="DD92" s="24" t="s">
        <v>17</v>
      </c>
      <c r="DE92" s="177"/>
      <c r="DF92" s="25" t="str">
        <f t="shared" si="350"/>
        <v>-</v>
      </c>
      <c r="DG92" s="170"/>
      <c r="DH92" s="177"/>
      <c r="DI92" s="24" t="s">
        <v>17</v>
      </c>
      <c r="DJ92" s="177"/>
      <c r="DK92" s="25" t="str">
        <f t="shared" si="351"/>
        <v>-</v>
      </c>
      <c r="DL92" s="170"/>
      <c r="DM92" s="177"/>
      <c r="DN92" s="24" t="s">
        <v>17</v>
      </c>
      <c r="DO92" s="177"/>
      <c r="DP92" s="25" t="str">
        <f t="shared" si="352"/>
        <v>-</v>
      </c>
      <c r="DQ92" s="170"/>
      <c r="DR92" s="177"/>
      <c r="DS92" s="24" t="s">
        <v>17</v>
      </c>
      <c r="DT92" s="177"/>
      <c r="DU92" s="25" t="str">
        <f t="shared" si="353"/>
        <v>-</v>
      </c>
      <c r="DV92" s="170"/>
      <c r="DW92" s="177"/>
      <c r="DX92" s="24" t="s">
        <v>17</v>
      </c>
      <c r="DY92" s="177"/>
      <c r="DZ92" s="25" t="str">
        <f t="shared" si="354"/>
        <v>-</v>
      </c>
      <c r="EA92" s="166"/>
      <c r="EB92" s="177"/>
      <c r="EC92" s="24" t="s">
        <v>17</v>
      </c>
      <c r="ED92" s="177"/>
      <c r="EE92" s="25" t="str">
        <f t="shared" si="355"/>
        <v>-</v>
      </c>
      <c r="EF92" s="166"/>
      <c r="EG92" s="177"/>
      <c r="EH92" s="24" t="s">
        <v>17</v>
      </c>
      <c r="EI92" s="177"/>
      <c r="EJ92" s="25" t="str">
        <f t="shared" si="356"/>
        <v>-</v>
      </c>
      <c r="EK92" s="166"/>
      <c r="EL92" s="177"/>
      <c r="EM92" s="24" t="s">
        <v>17</v>
      </c>
      <c r="EN92" s="177"/>
      <c r="EO92" s="25" t="str">
        <f t="shared" si="357"/>
        <v>-</v>
      </c>
      <c r="EP92" s="166"/>
      <c r="EQ92" s="177"/>
      <c r="ER92" s="24" t="s">
        <v>17</v>
      </c>
      <c r="ES92" s="177"/>
      <c r="ET92" s="25" t="str">
        <f t="shared" si="358"/>
        <v>-</v>
      </c>
      <c r="EU92" s="166"/>
      <c r="EV92" s="21"/>
      <c r="EW92" s="22" t="s">
        <v>17</v>
      </c>
      <c r="EX92" s="21"/>
      <c r="EY92" s="26" t="str">
        <f t="shared" si="359"/>
        <v>-</v>
      </c>
      <c r="EZ92" s="166"/>
      <c r="FA92" s="8"/>
    </row>
    <row r="93" spans="1:157" ht="17.399999999999999">
      <c r="A93" s="12" t="s">
        <v>122</v>
      </c>
      <c r="B93" s="13"/>
      <c r="C93" s="14" t="s">
        <v>17</v>
      </c>
      <c r="D93" s="13"/>
      <c r="E93" s="12" t="s">
        <v>124</v>
      </c>
      <c r="F93" s="166"/>
      <c r="G93" s="13"/>
      <c r="H93" s="14" t="s">
        <v>17</v>
      </c>
      <c r="I93" s="13"/>
      <c r="J93" s="17" t="str">
        <f t="shared" si="330"/>
        <v>-</v>
      </c>
      <c r="K93" s="220"/>
      <c r="L93" s="13"/>
      <c r="M93" s="14" t="s">
        <v>17</v>
      </c>
      <c r="N93" s="13"/>
      <c r="O93" s="17" t="str">
        <f t="shared" si="331"/>
        <v>-</v>
      </c>
      <c r="P93" s="220"/>
      <c r="Q93" s="13"/>
      <c r="R93" s="14" t="s">
        <v>17</v>
      </c>
      <c r="S93" s="13"/>
      <c r="T93" s="17" t="str">
        <f t="shared" si="332"/>
        <v>-</v>
      </c>
      <c r="U93" s="220"/>
      <c r="V93" s="13"/>
      <c r="W93" s="14" t="s">
        <v>17</v>
      </c>
      <c r="X93" s="13"/>
      <c r="Y93" s="17" t="str">
        <f t="shared" si="333"/>
        <v>-</v>
      </c>
      <c r="Z93" s="220"/>
      <c r="AA93" s="13"/>
      <c r="AB93" s="14" t="s">
        <v>17</v>
      </c>
      <c r="AC93" s="13"/>
      <c r="AD93" s="17" t="str">
        <f t="shared" si="334"/>
        <v>-</v>
      </c>
      <c r="AE93" s="220"/>
      <c r="AF93" s="13"/>
      <c r="AG93" s="14" t="s">
        <v>17</v>
      </c>
      <c r="AH93" s="13"/>
      <c r="AI93" s="17" t="str">
        <f t="shared" si="335"/>
        <v>-</v>
      </c>
      <c r="AJ93" s="220"/>
      <c r="AK93" s="13"/>
      <c r="AL93" s="14" t="s">
        <v>17</v>
      </c>
      <c r="AM93" s="13"/>
      <c r="AN93" s="17" t="str">
        <f t="shared" si="336"/>
        <v>-</v>
      </c>
      <c r="AO93" s="220"/>
      <c r="AP93" s="13"/>
      <c r="AQ93" s="14" t="s">
        <v>17</v>
      </c>
      <c r="AR93" s="13"/>
      <c r="AS93" s="17" t="str">
        <f t="shared" si="337"/>
        <v>-</v>
      </c>
      <c r="AT93" s="220"/>
      <c r="AU93" s="13"/>
      <c r="AV93" s="14" t="s">
        <v>17</v>
      </c>
      <c r="AW93" s="13"/>
      <c r="AX93" s="17" t="str">
        <f t="shared" si="338"/>
        <v>-</v>
      </c>
      <c r="AY93" s="168"/>
      <c r="AZ93" s="13"/>
      <c r="BA93" s="14" t="s">
        <v>17</v>
      </c>
      <c r="BB93" s="13"/>
      <c r="BC93" s="17" t="str">
        <f t="shared" si="339"/>
        <v>-</v>
      </c>
      <c r="BD93" s="169"/>
      <c r="BE93" s="13"/>
      <c r="BF93" s="14" t="s">
        <v>17</v>
      </c>
      <c r="BG93" s="13"/>
      <c r="BH93" s="19" t="str">
        <f t="shared" si="340"/>
        <v>-</v>
      </c>
      <c r="BI93" s="169"/>
      <c r="BJ93" s="13"/>
      <c r="BK93" s="14" t="s">
        <v>17</v>
      </c>
      <c r="BL93" s="13"/>
      <c r="BM93" s="19" t="str">
        <f t="shared" si="341"/>
        <v>-</v>
      </c>
      <c r="BN93" s="169"/>
      <c r="BO93" s="13"/>
      <c r="BP93" s="14" t="s">
        <v>17</v>
      </c>
      <c r="BQ93" s="13"/>
      <c r="BR93" s="19" t="str">
        <f t="shared" si="342"/>
        <v>-</v>
      </c>
      <c r="BS93" s="169"/>
      <c r="BT93" s="13"/>
      <c r="BU93" s="14" t="s">
        <v>17</v>
      </c>
      <c r="BV93" s="13"/>
      <c r="BW93" s="19" t="str">
        <f t="shared" si="343"/>
        <v>-</v>
      </c>
      <c r="BX93" s="166"/>
      <c r="BY93" s="175"/>
      <c r="BZ93" s="16" t="s">
        <v>17</v>
      </c>
      <c r="CA93" s="175"/>
      <c r="CB93" s="17" t="str">
        <f t="shared" si="344"/>
        <v>-</v>
      </c>
      <c r="CC93" s="170"/>
      <c r="CD93" s="175"/>
      <c r="CE93" s="16" t="s">
        <v>17</v>
      </c>
      <c r="CF93" s="175"/>
      <c r="CG93" s="17" t="str">
        <f t="shared" si="345"/>
        <v>-</v>
      </c>
      <c r="CH93" s="170"/>
      <c r="CI93" s="175"/>
      <c r="CJ93" s="16" t="s">
        <v>17</v>
      </c>
      <c r="CK93" s="175"/>
      <c r="CL93" s="17" t="str">
        <f t="shared" si="346"/>
        <v>-</v>
      </c>
      <c r="CM93" s="170"/>
      <c r="CN93" s="175"/>
      <c r="CO93" s="16" t="s">
        <v>17</v>
      </c>
      <c r="CP93" s="175"/>
      <c r="CQ93" s="17" t="str">
        <f t="shared" si="347"/>
        <v>-</v>
      </c>
      <c r="CR93" s="170"/>
      <c r="CS93" s="175"/>
      <c r="CT93" s="16" t="s">
        <v>17</v>
      </c>
      <c r="CU93" s="175"/>
      <c r="CV93" s="17" t="str">
        <f t="shared" si="348"/>
        <v>-</v>
      </c>
      <c r="CW93" s="170"/>
      <c r="CX93" s="175"/>
      <c r="CY93" s="16" t="s">
        <v>17</v>
      </c>
      <c r="CZ93" s="175"/>
      <c r="DA93" s="17" t="str">
        <f t="shared" si="349"/>
        <v>-</v>
      </c>
      <c r="DB93" s="170"/>
      <c r="DC93" s="175"/>
      <c r="DD93" s="16" t="s">
        <v>17</v>
      </c>
      <c r="DE93" s="175"/>
      <c r="DF93" s="17" t="str">
        <f t="shared" si="350"/>
        <v>-</v>
      </c>
      <c r="DG93" s="170"/>
      <c r="DH93" s="175"/>
      <c r="DI93" s="16" t="s">
        <v>17</v>
      </c>
      <c r="DJ93" s="175"/>
      <c r="DK93" s="17" t="str">
        <f t="shared" si="351"/>
        <v>-</v>
      </c>
      <c r="DL93" s="170"/>
      <c r="DM93" s="175"/>
      <c r="DN93" s="16" t="s">
        <v>17</v>
      </c>
      <c r="DO93" s="175"/>
      <c r="DP93" s="17" t="str">
        <f t="shared" si="352"/>
        <v>-</v>
      </c>
      <c r="DQ93" s="170"/>
      <c r="DR93" s="175"/>
      <c r="DS93" s="16" t="s">
        <v>17</v>
      </c>
      <c r="DT93" s="175"/>
      <c r="DU93" s="17" t="str">
        <f t="shared" si="353"/>
        <v>-</v>
      </c>
      <c r="DV93" s="170"/>
      <c r="DW93" s="175"/>
      <c r="DX93" s="16" t="s">
        <v>17</v>
      </c>
      <c r="DY93" s="175"/>
      <c r="DZ93" s="17" t="str">
        <f t="shared" si="354"/>
        <v>-</v>
      </c>
      <c r="EA93" s="166"/>
      <c r="EB93" s="175"/>
      <c r="EC93" s="16" t="s">
        <v>17</v>
      </c>
      <c r="ED93" s="175"/>
      <c r="EE93" s="17" t="str">
        <f t="shared" si="355"/>
        <v>-</v>
      </c>
      <c r="EF93" s="166"/>
      <c r="EG93" s="175"/>
      <c r="EH93" s="16" t="s">
        <v>17</v>
      </c>
      <c r="EI93" s="175"/>
      <c r="EJ93" s="17" t="str">
        <f t="shared" si="356"/>
        <v>-</v>
      </c>
      <c r="EK93" s="166"/>
      <c r="EL93" s="175"/>
      <c r="EM93" s="16" t="s">
        <v>17</v>
      </c>
      <c r="EN93" s="175"/>
      <c r="EO93" s="17" t="str">
        <f t="shared" si="357"/>
        <v>-</v>
      </c>
      <c r="EP93" s="166"/>
      <c r="EQ93" s="175"/>
      <c r="ER93" s="16" t="s">
        <v>17</v>
      </c>
      <c r="ES93" s="175"/>
      <c r="ET93" s="17" t="str">
        <f t="shared" si="358"/>
        <v>-</v>
      </c>
      <c r="EU93" s="166"/>
      <c r="EV93" s="13"/>
      <c r="EW93" s="14" t="s">
        <v>17</v>
      </c>
      <c r="EX93" s="13"/>
      <c r="EY93" s="19" t="str">
        <f t="shared" si="359"/>
        <v>-</v>
      </c>
      <c r="EZ93" s="166"/>
      <c r="FA93" s="8"/>
    </row>
    <row r="94" spans="1:157" ht="17.399999999999999">
      <c r="A94" s="20" t="s">
        <v>125</v>
      </c>
      <c r="B94" s="21"/>
      <c r="C94" s="22" t="s">
        <v>17</v>
      </c>
      <c r="D94" s="21"/>
      <c r="E94" s="20" t="s">
        <v>123</v>
      </c>
      <c r="F94" s="166"/>
      <c r="G94" s="21"/>
      <c r="H94" s="22" t="s">
        <v>17</v>
      </c>
      <c r="I94" s="21"/>
      <c r="J94" s="25" t="str">
        <f t="shared" si="330"/>
        <v>-</v>
      </c>
      <c r="K94" s="220"/>
      <c r="L94" s="21"/>
      <c r="M94" s="22" t="s">
        <v>17</v>
      </c>
      <c r="N94" s="21"/>
      <c r="O94" s="25" t="str">
        <f t="shared" si="331"/>
        <v>-</v>
      </c>
      <c r="P94" s="220"/>
      <c r="Q94" s="21"/>
      <c r="R94" s="22" t="s">
        <v>17</v>
      </c>
      <c r="S94" s="21"/>
      <c r="T94" s="25" t="str">
        <f t="shared" si="332"/>
        <v>-</v>
      </c>
      <c r="U94" s="220"/>
      <c r="V94" s="21"/>
      <c r="W94" s="22" t="s">
        <v>17</v>
      </c>
      <c r="X94" s="21"/>
      <c r="Y94" s="25" t="str">
        <f t="shared" si="333"/>
        <v>-</v>
      </c>
      <c r="Z94" s="220"/>
      <c r="AA94" s="21"/>
      <c r="AB94" s="22" t="s">
        <v>17</v>
      </c>
      <c r="AC94" s="21"/>
      <c r="AD94" s="25" t="str">
        <f t="shared" si="334"/>
        <v>-</v>
      </c>
      <c r="AE94" s="220"/>
      <c r="AF94" s="21"/>
      <c r="AG94" s="22" t="s">
        <v>17</v>
      </c>
      <c r="AH94" s="21"/>
      <c r="AI94" s="25" t="str">
        <f t="shared" si="335"/>
        <v>-</v>
      </c>
      <c r="AJ94" s="220"/>
      <c r="AK94" s="21"/>
      <c r="AL94" s="22" t="s">
        <v>17</v>
      </c>
      <c r="AM94" s="21"/>
      <c r="AN94" s="25" t="str">
        <f t="shared" si="336"/>
        <v>-</v>
      </c>
      <c r="AO94" s="220"/>
      <c r="AP94" s="21"/>
      <c r="AQ94" s="22" t="s">
        <v>17</v>
      </c>
      <c r="AR94" s="21"/>
      <c r="AS94" s="25" t="str">
        <f t="shared" si="337"/>
        <v>-</v>
      </c>
      <c r="AT94" s="220"/>
      <c r="AU94" s="21"/>
      <c r="AV94" s="22" t="s">
        <v>17</v>
      </c>
      <c r="AW94" s="21"/>
      <c r="AX94" s="25" t="str">
        <f t="shared" si="338"/>
        <v>-</v>
      </c>
      <c r="AY94" s="168"/>
      <c r="AZ94" s="21"/>
      <c r="BA94" s="22" t="s">
        <v>17</v>
      </c>
      <c r="BB94" s="21"/>
      <c r="BC94" s="25" t="str">
        <f t="shared" si="339"/>
        <v>-</v>
      </c>
      <c r="BD94" s="169"/>
      <c r="BE94" s="21"/>
      <c r="BF94" s="22" t="s">
        <v>17</v>
      </c>
      <c r="BG94" s="21"/>
      <c r="BH94" s="26" t="str">
        <f t="shared" si="340"/>
        <v>-</v>
      </c>
      <c r="BI94" s="169"/>
      <c r="BJ94" s="21"/>
      <c r="BK94" s="22" t="s">
        <v>17</v>
      </c>
      <c r="BL94" s="21"/>
      <c r="BM94" s="26" t="str">
        <f t="shared" si="341"/>
        <v>-</v>
      </c>
      <c r="BN94" s="169"/>
      <c r="BO94" s="21"/>
      <c r="BP94" s="22" t="s">
        <v>17</v>
      </c>
      <c r="BQ94" s="21"/>
      <c r="BR94" s="26" t="str">
        <f t="shared" si="342"/>
        <v>-</v>
      </c>
      <c r="BS94" s="169"/>
      <c r="BT94" s="21"/>
      <c r="BU94" s="22" t="s">
        <v>17</v>
      </c>
      <c r="BV94" s="21"/>
      <c r="BW94" s="26" t="str">
        <f t="shared" si="343"/>
        <v>-</v>
      </c>
      <c r="BX94" s="166"/>
      <c r="BY94" s="177"/>
      <c r="BZ94" s="24" t="s">
        <v>17</v>
      </c>
      <c r="CA94" s="177"/>
      <c r="CB94" s="25" t="str">
        <f t="shared" si="344"/>
        <v>-</v>
      </c>
      <c r="CC94" s="170"/>
      <c r="CD94" s="177"/>
      <c r="CE94" s="24" t="s">
        <v>17</v>
      </c>
      <c r="CF94" s="177"/>
      <c r="CG94" s="25" t="str">
        <f t="shared" si="345"/>
        <v>-</v>
      </c>
      <c r="CH94" s="170"/>
      <c r="CI94" s="177"/>
      <c r="CJ94" s="24" t="s">
        <v>17</v>
      </c>
      <c r="CK94" s="177"/>
      <c r="CL94" s="25" t="str">
        <f t="shared" si="346"/>
        <v>-</v>
      </c>
      <c r="CM94" s="170"/>
      <c r="CN94" s="177"/>
      <c r="CO94" s="24" t="s">
        <v>17</v>
      </c>
      <c r="CP94" s="177"/>
      <c r="CQ94" s="25" t="str">
        <f t="shared" si="347"/>
        <v>-</v>
      </c>
      <c r="CR94" s="170"/>
      <c r="CS94" s="177"/>
      <c r="CT94" s="24" t="s">
        <v>17</v>
      </c>
      <c r="CU94" s="177"/>
      <c r="CV94" s="25" t="str">
        <f t="shared" si="348"/>
        <v>-</v>
      </c>
      <c r="CW94" s="170"/>
      <c r="CX94" s="177"/>
      <c r="CY94" s="24" t="s">
        <v>17</v>
      </c>
      <c r="CZ94" s="177"/>
      <c r="DA94" s="25" t="str">
        <f t="shared" si="349"/>
        <v>-</v>
      </c>
      <c r="DB94" s="170"/>
      <c r="DC94" s="177"/>
      <c r="DD94" s="24" t="s">
        <v>17</v>
      </c>
      <c r="DE94" s="177"/>
      <c r="DF94" s="25" t="str">
        <f t="shared" si="350"/>
        <v>-</v>
      </c>
      <c r="DG94" s="170"/>
      <c r="DH94" s="177"/>
      <c r="DI94" s="24" t="s">
        <v>17</v>
      </c>
      <c r="DJ94" s="177"/>
      <c r="DK94" s="25" t="str">
        <f t="shared" si="351"/>
        <v>-</v>
      </c>
      <c r="DL94" s="170"/>
      <c r="DM94" s="177"/>
      <c r="DN94" s="24" t="s">
        <v>17</v>
      </c>
      <c r="DO94" s="177"/>
      <c r="DP94" s="25" t="str">
        <f t="shared" si="352"/>
        <v>-</v>
      </c>
      <c r="DQ94" s="170"/>
      <c r="DR94" s="177"/>
      <c r="DS94" s="24" t="s">
        <v>17</v>
      </c>
      <c r="DT94" s="177"/>
      <c r="DU94" s="25" t="str">
        <f t="shared" si="353"/>
        <v>-</v>
      </c>
      <c r="DV94" s="170"/>
      <c r="DW94" s="177"/>
      <c r="DX94" s="24" t="s">
        <v>17</v>
      </c>
      <c r="DY94" s="177"/>
      <c r="DZ94" s="25" t="str">
        <f t="shared" si="354"/>
        <v>-</v>
      </c>
      <c r="EA94" s="166"/>
      <c r="EB94" s="177"/>
      <c r="EC94" s="24" t="s">
        <v>17</v>
      </c>
      <c r="ED94" s="177"/>
      <c r="EE94" s="25" t="str">
        <f t="shared" si="355"/>
        <v>-</v>
      </c>
      <c r="EF94" s="166"/>
      <c r="EG94" s="177"/>
      <c r="EH94" s="24" t="s">
        <v>17</v>
      </c>
      <c r="EI94" s="177"/>
      <c r="EJ94" s="25" t="str">
        <f t="shared" si="356"/>
        <v>-</v>
      </c>
      <c r="EK94" s="166"/>
      <c r="EL94" s="177"/>
      <c r="EM94" s="24" t="s">
        <v>17</v>
      </c>
      <c r="EN94" s="177"/>
      <c r="EO94" s="25" t="str">
        <f t="shared" si="357"/>
        <v>-</v>
      </c>
      <c r="EP94" s="166"/>
      <c r="EQ94" s="177"/>
      <c r="ER94" s="24" t="s">
        <v>17</v>
      </c>
      <c r="ES94" s="177"/>
      <c r="ET94" s="25" t="str">
        <f t="shared" si="358"/>
        <v>-</v>
      </c>
      <c r="EU94" s="166"/>
      <c r="EV94" s="21"/>
      <c r="EW94" s="22" t="s">
        <v>17</v>
      </c>
      <c r="EX94" s="21"/>
      <c r="EY94" s="26" t="str">
        <f t="shared" si="359"/>
        <v>-</v>
      </c>
      <c r="EZ94" s="166"/>
      <c r="FA94" s="8"/>
    </row>
    <row r="95" spans="1:157" ht="17.399999999999999">
      <c r="A95" s="12" t="s">
        <v>123</v>
      </c>
      <c r="B95" s="13"/>
      <c r="C95" s="14" t="s">
        <v>17</v>
      </c>
      <c r="D95" s="13"/>
      <c r="E95" s="12" t="s">
        <v>124</v>
      </c>
      <c r="F95" s="166"/>
      <c r="G95" s="13"/>
      <c r="H95" s="14" t="s">
        <v>17</v>
      </c>
      <c r="I95" s="13"/>
      <c r="J95" s="17" t="str">
        <f t="shared" si="330"/>
        <v>-</v>
      </c>
      <c r="K95" s="220"/>
      <c r="L95" s="13"/>
      <c r="M95" s="14" t="s">
        <v>17</v>
      </c>
      <c r="N95" s="13"/>
      <c r="O95" s="17" t="str">
        <f t="shared" si="331"/>
        <v>-</v>
      </c>
      <c r="P95" s="220"/>
      <c r="Q95" s="13"/>
      <c r="R95" s="14" t="s">
        <v>17</v>
      </c>
      <c r="S95" s="13"/>
      <c r="T95" s="17" t="str">
        <f t="shared" si="332"/>
        <v>-</v>
      </c>
      <c r="U95" s="220"/>
      <c r="V95" s="13"/>
      <c r="W95" s="14" t="s">
        <v>17</v>
      </c>
      <c r="X95" s="13"/>
      <c r="Y95" s="17" t="str">
        <f t="shared" si="333"/>
        <v>-</v>
      </c>
      <c r="Z95" s="220"/>
      <c r="AA95" s="13"/>
      <c r="AB95" s="14" t="s">
        <v>17</v>
      </c>
      <c r="AC95" s="13"/>
      <c r="AD95" s="17" t="str">
        <f t="shared" si="334"/>
        <v>-</v>
      </c>
      <c r="AE95" s="220"/>
      <c r="AF95" s="13"/>
      <c r="AG95" s="14" t="s">
        <v>17</v>
      </c>
      <c r="AH95" s="13"/>
      <c r="AI95" s="17" t="str">
        <f t="shared" si="335"/>
        <v>-</v>
      </c>
      <c r="AJ95" s="220"/>
      <c r="AK95" s="13"/>
      <c r="AL95" s="14" t="s">
        <v>17</v>
      </c>
      <c r="AM95" s="13"/>
      <c r="AN95" s="17" t="str">
        <f t="shared" si="336"/>
        <v>-</v>
      </c>
      <c r="AO95" s="220"/>
      <c r="AP95" s="13"/>
      <c r="AQ95" s="14" t="s">
        <v>17</v>
      </c>
      <c r="AR95" s="13"/>
      <c r="AS95" s="17" t="str">
        <f t="shared" si="337"/>
        <v>-</v>
      </c>
      <c r="AT95" s="220"/>
      <c r="AU95" s="13"/>
      <c r="AV95" s="14" t="s">
        <v>17</v>
      </c>
      <c r="AW95" s="13"/>
      <c r="AX95" s="17" t="str">
        <f t="shared" si="338"/>
        <v>-</v>
      </c>
      <c r="AY95" s="168"/>
      <c r="AZ95" s="13"/>
      <c r="BA95" s="14" t="s">
        <v>17</v>
      </c>
      <c r="BB95" s="13"/>
      <c r="BC95" s="17" t="str">
        <f t="shared" si="339"/>
        <v>-</v>
      </c>
      <c r="BD95" s="169"/>
      <c r="BE95" s="13"/>
      <c r="BF95" s="14" t="s">
        <v>17</v>
      </c>
      <c r="BG95" s="13"/>
      <c r="BH95" s="19" t="str">
        <f t="shared" si="340"/>
        <v>-</v>
      </c>
      <c r="BI95" s="169"/>
      <c r="BJ95" s="13"/>
      <c r="BK95" s="14" t="s">
        <v>17</v>
      </c>
      <c r="BL95" s="13"/>
      <c r="BM95" s="19" t="str">
        <f t="shared" si="341"/>
        <v>-</v>
      </c>
      <c r="BN95" s="169"/>
      <c r="BO95" s="13"/>
      <c r="BP95" s="14" t="s">
        <v>17</v>
      </c>
      <c r="BQ95" s="13"/>
      <c r="BR95" s="19" t="str">
        <f t="shared" si="342"/>
        <v>-</v>
      </c>
      <c r="BS95" s="169"/>
      <c r="BT95" s="13"/>
      <c r="BU95" s="14" t="s">
        <v>17</v>
      </c>
      <c r="BV95" s="13"/>
      <c r="BW95" s="19" t="str">
        <f t="shared" si="343"/>
        <v>-</v>
      </c>
      <c r="BX95" s="166"/>
      <c r="BY95" s="175"/>
      <c r="BZ95" s="16" t="s">
        <v>17</v>
      </c>
      <c r="CA95" s="175"/>
      <c r="CB95" s="17" t="str">
        <f t="shared" si="344"/>
        <v>-</v>
      </c>
      <c r="CC95" s="170"/>
      <c r="CD95" s="175"/>
      <c r="CE95" s="16" t="s">
        <v>17</v>
      </c>
      <c r="CF95" s="175"/>
      <c r="CG95" s="17" t="str">
        <f t="shared" si="345"/>
        <v>-</v>
      </c>
      <c r="CH95" s="170"/>
      <c r="CI95" s="175"/>
      <c r="CJ95" s="16" t="s">
        <v>17</v>
      </c>
      <c r="CK95" s="175"/>
      <c r="CL95" s="17" t="str">
        <f t="shared" si="346"/>
        <v>-</v>
      </c>
      <c r="CM95" s="170"/>
      <c r="CN95" s="175"/>
      <c r="CO95" s="16" t="s">
        <v>17</v>
      </c>
      <c r="CP95" s="175"/>
      <c r="CQ95" s="17" t="str">
        <f t="shared" si="347"/>
        <v>-</v>
      </c>
      <c r="CR95" s="170"/>
      <c r="CS95" s="175"/>
      <c r="CT95" s="16" t="s">
        <v>17</v>
      </c>
      <c r="CU95" s="175"/>
      <c r="CV95" s="17" t="str">
        <f t="shared" si="348"/>
        <v>-</v>
      </c>
      <c r="CW95" s="170"/>
      <c r="CX95" s="175"/>
      <c r="CY95" s="16" t="s">
        <v>17</v>
      </c>
      <c r="CZ95" s="175"/>
      <c r="DA95" s="17" t="str">
        <f t="shared" si="349"/>
        <v>-</v>
      </c>
      <c r="DB95" s="170"/>
      <c r="DC95" s="175"/>
      <c r="DD95" s="16" t="s">
        <v>17</v>
      </c>
      <c r="DE95" s="175"/>
      <c r="DF95" s="17" t="str">
        <f t="shared" si="350"/>
        <v>-</v>
      </c>
      <c r="DG95" s="170"/>
      <c r="DH95" s="175"/>
      <c r="DI95" s="16" t="s">
        <v>17</v>
      </c>
      <c r="DJ95" s="175"/>
      <c r="DK95" s="17" t="str">
        <f t="shared" si="351"/>
        <v>-</v>
      </c>
      <c r="DL95" s="170"/>
      <c r="DM95" s="175"/>
      <c r="DN95" s="16" t="s">
        <v>17</v>
      </c>
      <c r="DO95" s="175"/>
      <c r="DP95" s="17" t="str">
        <f t="shared" si="352"/>
        <v>-</v>
      </c>
      <c r="DQ95" s="170"/>
      <c r="DR95" s="175"/>
      <c r="DS95" s="16" t="s">
        <v>17</v>
      </c>
      <c r="DT95" s="175"/>
      <c r="DU95" s="17" t="str">
        <f t="shared" si="353"/>
        <v>-</v>
      </c>
      <c r="DV95" s="170"/>
      <c r="DW95" s="175"/>
      <c r="DX95" s="16" t="s">
        <v>17</v>
      </c>
      <c r="DY95" s="175"/>
      <c r="DZ95" s="17" t="str">
        <f t="shared" si="354"/>
        <v>-</v>
      </c>
      <c r="EA95" s="166"/>
      <c r="EB95" s="175"/>
      <c r="EC95" s="16" t="s">
        <v>17</v>
      </c>
      <c r="ED95" s="175"/>
      <c r="EE95" s="17" t="str">
        <f t="shared" si="355"/>
        <v>-</v>
      </c>
      <c r="EF95" s="166"/>
      <c r="EG95" s="175"/>
      <c r="EH95" s="16" t="s">
        <v>17</v>
      </c>
      <c r="EI95" s="175"/>
      <c r="EJ95" s="17" t="str">
        <f t="shared" si="356"/>
        <v>-</v>
      </c>
      <c r="EK95" s="166"/>
      <c r="EL95" s="175"/>
      <c r="EM95" s="16" t="s">
        <v>17</v>
      </c>
      <c r="EN95" s="175"/>
      <c r="EO95" s="17" t="str">
        <f t="shared" si="357"/>
        <v>-</v>
      </c>
      <c r="EP95" s="166"/>
      <c r="EQ95" s="175"/>
      <c r="ER95" s="16" t="s">
        <v>17</v>
      </c>
      <c r="ES95" s="175"/>
      <c r="ET95" s="17" t="str">
        <f t="shared" si="358"/>
        <v>-</v>
      </c>
      <c r="EU95" s="166"/>
      <c r="EV95" s="13"/>
      <c r="EW95" s="14" t="s">
        <v>17</v>
      </c>
      <c r="EX95" s="13"/>
      <c r="EY95" s="19" t="str">
        <f t="shared" si="359"/>
        <v>-</v>
      </c>
      <c r="EZ95" s="166"/>
      <c r="FA95" s="8"/>
    </row>
    <row r="96" spans="1:157" ht="17.399999999999999">
      <c r="A96" s="20" t="s">
        <v>125</v>
      </c>
      <c r="B96" s="21"/>
      <c r="C96" s="22" t="s">
        <v>17</v>
      </c>
      <c r="D96" s="21"/>
      <c r="E96" s="20" t="s">
        <v>122</v>
      </c>
      <c r="F96" s="166"/>
      <c r="G96" s="21"/>
      <c r="H96" s="22" t="s">
        <v>17</v>
      </c>
      <c r="I96" s="21"/>
      <c r="J96" s="25" t="str">
        <f t="shared" si="330"/>
        <v>-</v>
      </c>
      <c r="K96" s="220"/>
      <c r="L96" s="21"/>
      <c r="M96" s="22" t="s">
        <v>17</v>
      </c>
      <c r="N96" s="21"/>
      <c r="O96" s="25" t="str">
        <f t="shared" si="331"/>
        <v>-</v>
      </c>
      <c r="P96" s="220"/>
      <c r="Q96" s="21"/>
      <c r="R96" s="22" t="s">
        <v>17</v>
      </c>
      <c r="S96" s="21"/>
      <c r="T96" s="25" t="str">
        <f t="shared" si="332"/>
        <v>-</v>
      </c>
      <c r="U96" s="220"/>
      <c r="V96" s="21"/>
      <c r="W96" s="22" t="s">
        <v>17</v>
      </c>
      <c r="X96" s="21"/>
      <c r="Y96" s="25" t="str">
        <f t="shared" si="333"/>
        <v>-</v>
      </c>
      <c r="Z96" s="220"/>
      <c r="AA96" s="21"/>
      <c r="AB96" s="22" t="s">
        <v>17</v>
      </c>
      <c r="AC96" s="21"/>
      <c r="AD96" s="25" t="str">
        <f t="shared" si="334"/>
        <v>-</v>
      </c>
      <c r="AE96" s="220"/>
      <c r="AF96" s="21"/>
      <c r="AG96" s="22" t="s">
        <v>17</v>
      </c>
      <c r="AH96" s="21"/>
      <c r="AI96" s="25" t="str">
        <f t="shared" si="335"/>
        <v>-</v>
      </c>
      <c r="AJ96" s="220"/>
      <c r="AK96" s="21"/>
      <c r="AL96" s="22" t="s">
        <v>17</v>
      </c>
      <c r="AM96" s="21"/>
      <c r="AN96" s="25" t="str">
        <f t="shared" si="336"/>
        <v>-</v>
      </c>
      <c r="AO96" s="220"/>
      <c r="AP96" s="21"/>
      <c r="AQ96" s="22" t="s">
        <v>17</v>
      </c>
      <c r="AR96" s="21"/>
      <c r="AS96" s="25" t="str">
        <f t="shared" si="337"/>
        <v>-</v>
      </c>
      <c r="AT96" s="220"/>
      <c r="AU96" s="21"/>
      <c r="AV96" s="22" t="s">
        <v>17</v>
      </c>
      <c r="AW96" s="21"/>
      <c r="AX96" s="25" t="str">
        <f t="shared" si="338"/>
        <v>-</v>
      </c>
      <c r="AY96" s="168"/>
      <c r="AZ96" s="21"/>
      <c r="BA96" s="22" t="s">
        <v>17</v>
      </c>
      <c r="BB96" s="21"/>
      <c r="BC96" s="25" t="str">
        <f t="shared" si="339"/>
        <v>-</v>
      </c>
      <c r="BD96" s="169"/>
      <c r="BE96" s="21"/>
      <c r="BF96" s="22" t="s">
        <v>17</v>
      </c>
      <c r="BG96" s="21"/>
      <c r="BH96" s="26" t="str">
        <f t="shared" si="340"/>
        <v>-</v>
      </c>
      <c r="BI96" s="169"/>
      <c r="BJ96" s="21"/>
      <c r="BK96" s="22" t="s">
        <v>17</v>
      </c>
      <c r="BL96" s="21"/>
      <c r="BM96" s="26" t="str">
        <f t="shared" si="341"/>
        <v>-</v>
      </c>
      <c r="BN96" s="169"/>
      <c r="BO96" s="21"/>
      <c r="BP96" s="22" t="s">
        <v>17</v>
      </c>
      <c r="BQ96" s="21"/>
      <c r="BR96" s="26" t="str">
        <f t="shared" si="342"/>
        <v>-</v>
      </c>
      <c r="BS96" s="169"/>
      <c r="BT96" s="21"/>
      <c r="BU96" s="22" t="s">
        <v>17</v>
      </c>
      <c r="BV96" s="21"/>
      <c r="BW96" s="26" t="str">
        <f t="shared" si="343"/>
        <v>-</v>
      </c>
      <c r="BX96" s="166"/>
      <c r="BY96" s="177"/>
      <c r="BZ96" s="24" t="s">
        <v>17</v>
      </c>
      <c r="CA96" s="177"/>
      <c r="CB96" s="25" t="str">
        <f t="shared" si="344"/>
        <v>-</v>
      </c>
      <c r="CC96" s="170"/>
      <c r="CD96" s="177"/>
      <c r="CE96" s="24" t="s">
        <v>17</v>
      </c>
      <c r="CF96" s="177"/>
      <c r="CG96" s="25" t="str">
        <f t="shared" si="345"/>
        <v>-</v>
      </c>
      <c r="CH96" s="170"/>
      <c r="CI96" s="177"/>
      <c r="CJ96" s="24" t="s">
        <v>17</v>
      </c>
      <c r="CK96" s="177"/>
      <c r="CL96" s="25" t="str">
        <f t="shared" si="346"/>
        <v>-</v>
      </c>
      <c r="CM96" s="170"/>
      <c r="CN96" s="177"/>
      <c r="CO96" s="24" t="s">
        <v>17</v>
      </c>
      <c r="CP96" s="177"/>
      <c r="CQ96" s="25" t="str">
        <f t="shared" si="347"/>
        <v>-</v>
      </c>
      <c r="CR96" s="170"/>
      <c r="CS96" s="177"/>
      <c r="CT96" s="24" t="s">
        <v>17</v>
      </c>
      <c r="CU96" s="177"/>
      <c r="CV96" s="25" t="str">
        <f t="shared" si="348"/>
        <v>-</v>
      </c>
      <c r="CW96" s="170"/>
      <c r="CX96" s="177"/>
      <c r="CY96" s="24" t="s">
        <v>17</v>
      </c>
      <c r="CZ96" s="177"/>
      <c r="DA96" s="25" t="str">
        <f t="shared" si="349"/>
        <v>-</v>
      </c>
      <c r="DB96" s="170"/>
      <c r="DC96" s="177"/>
      <c r="DD96" s="24" t="s">
        <v>17</v>
      </c>
      <c r="DE96" s="177"/>
      <c r="DF96" s="25" t="str">
        <f t="shared" si="350"/>
        <v>-</v>
      </c>
      <c r="DG96" s="170"/>
      <c r="DH96" s="177"/>
      <c r="DI96" s="24" t="s">
        <v>17</v>
      </c>
      <c r="DJ96" s="177"/>
      <c r="DK96" s="25" t="str">
        <f t="shared" si="351"/>
        <v>-</v>
      </c>
      <c r="DL96" s="170"/>
      <c r="DM96" s="177"/>
      <c r="DN96" s="24" t="s">
        <v>17</v>
      </c>
      <c r="DO96" s="177"/>
      <c r="DP96" s="25" t="str">
        <f t="shared" si="352"/>
        <v>-</v>
      </c>
      <c r="DQ96" s="170"/>
      <c r="DR96" s="177"/>
      <c r="DS96" s="24" t="s">
        <v>17</v>
      </c>
      <c r="DT96" s="177"/>
      <c r="DU96" s="25" t="str">
        <f t="shared" si="353"/>
        <v>-</v>
      </c>
      <c r="DV96" s="170"/>
      <c r="DW96" s="177"/>
      <c r="DX96" s="24" t="s">
        <v>17</v>
      </c>
      <c r="DY96" s="177"/>
      <c r="DZ96" s="25" t="str">
        <f t="shared" si="354"/>
        <v>-</v>
      </c>
      <c r="EA96" s="166"/>
      <c r="EB96" s="177"/>
      <c r="EC96" s="24" t="s">
        <v>17</v>
      </c>
      <c r="ED96" s="177"/>
      <c r="EE96" s="25" t="str">
        <f t="shared" si="355"/>
        <v>-</v>
      </c>
      <c r="EF96" s="166"/>
      <c r="EG96" s="177"/>
      <c r="EH96" s="24" t="s">
        <v>17</v>
      </c>
      <c r="EI96" s="177"/>
      <c r="EJ96" s="25" t="str">
        <f t="shared" si="356"/>
        <v>-</v>
      </c>
      <c r="EK96" s="166"/>
      <c r="EL96" s="177"/>
      <c r="EM96" s="24" t="s">
        <v>17</v>
      </c>
      <c r="EN96" s="177"/>
      <c r="EO96" s="25" t="str">
        <f t="shared" si="357"/>
        <v>-</v>
      </c>
      <c r="EP96" s="166"/>
      <c r="EQ96" s="177"/>
      <c r="ER96" s="24" t="s">
        <v>17</v>
      </c>
      <c r="ES96" s="177"/>
      <c r="ET96" s="25" t="str">
        <f t="shared" si="358"/>
        <v>-</v>
      </c>
      <c r="EU96" s="166"/>
      <c r="EV96" s="21"/>
      <c r="EW96" s="22" t="s">
        <v>17</v>
      </c>
      <c r="EX96" s="21"/>
      <c r="EY96" s="26" t="str">
        <f t="shared" si="359"/>
        <v>-</v>
      </c>
      <c r="EZ96" s="166"/>
      <c r="FA96" s="8"/>
    </row>
    <row r="97" spans="1:157" ht="17.399999999999999">
      <c r="A97" s="285"/>
      <c r="B97" s="285"/>
      <c r="C97" s="286"/>
      <c r="D97" s="285"/>
      <c r="E97" s="285"/>
      <c r="F97" s="166"/>
      <c r="G97" s="326">
        <f>SUM(J91:J96)</f>
        <v>0</v>
      </c>
      <c r="H97" s="301"/>
      <c r="I97" s="301"/>
      <c r="J97" s="179" t="str">
        <f>TEXT(SUM(G99)/720,"0%")</f>
        <v>0%</v>
      </c>
      <c r="K97" s="180"/>
      <c r="L97" s="326">
        <f>SUM(O91:O96)</f>
        <v>0</v>
      </c>
      <c r="M97" s="301"/>
      <c r="N97" s="301"/>
      <c r="O97" s="179" t="str">
        <f>TEXT(SUM(L99)/720,"0%")</f>
        <v>0%</v>
      </c>
      <c r="P97" s="180"/>
      <c r="Q97" s="326">
        <f>SUM(T91:T96)</f>
        <v>0</v>
      </c>
      <c r="R97" s="301"/>
      <c r="S97" s="301"/>
      <c r="T97" s="179" t="str">
        <f>TEXT(SUM(Q99)/720,"0%")</f>
        <v>0%</v>
      </c>
      <c r="U97" s="180"/>
      <c r="V97" s="326">
        <f>SUM(Y91:Y96)</f>
        <v>0</v>
      </c>
      <c r="W97" s="301"/>
      <c r="X97" s="301"/>
      <c r="Y97" s="179" t="str">
        <f>TEXT(SUM(V99)/720,"0%")</f>
        <v>0%</v>
      </c>
      <c r="Z97" s="180"/>
      <c r="AA97" s="326">
        <f>SUM(AD91:AD96)</f>
        <v>0</v>
      </c>
      <c r="AB97" s="301"/>
      <c r="AC97" s="301"/>
      <c r="AD97" s="179" t="str">
        <f>TEXT(SUM(AA99)/720,"0%")</f>
        <v>0%</v>
      </c>
      <c r="AE97" s="180"/>
      <c r="AF97" s="326">
        <f>SUM(AI91:AI96)</f>
        <v>0</v>
      </c>
      <c r="AG97" s="301"/>
      <c r="AH97" s="301"/>
      <c r="AI97" s="179" t="str">
        <f>TEXT(SUM(AF99)/720,"0%")</f>
        <v>0%</v>
      </c>
      <c r="AJ97" s="180"/>
      <c r="AK97" s="326">
        <f>SUM(AN91:AN96)</f>
        <v>0</v>
      </c>
      <c r="AL97" s="301"/>
      <c r="AM97" s="301"/>
      <c r="AN97" s="179" t="str">
        <f>TEXT(SUM(AK99)/720,"0%")</f>
        <v>0%</v>
      </c>
      <c r="AO97" s="180"/>
      <c r="AP97" s="326">
        <f>SUM(AS91:AS96)</f>
        <v>0</v>
      </c>
      <c r="AQ97" s="301"/>
      <c r="AR97" s="301"/>
      <c r="AS97" s="179" t="str">
        <f>TEXT(SUM(AP99)/720,"0%")</f>
        <v>0%</v>
      </c>
      <c r="AT97" s="180"/>
      <c r="AU97" s="326">
        <f>SUM(AX91:AX96)</f>
        <v>0</v>
      </c>
      <c r="AV97" s="301"/>
      <c r="AW97" s="301"/>
      <c r="AX97" s="179" t="str">
        <f>TEXT(SUM(AU99)/720,"0%")</f>
        <v>0%</v>
      </c>
      <c r="AY97" s="168"/>
      <c r="AZ97" s="326">
        <f>SUM(BC91:BC96)</f>
        <v>0</v>
      </c>
      <c r="BA97" s="301"/>
      <c r="BB97" s="301"/>
      <c r="BC97" s="179" t="str">
        <f>TEXT(SUM(AZ99)/720,"0%")</f>
        <v>0%</v>
      </c>
      <c r="BD97" s="169"/>
      <c r="BE97" s="326">
        <f>SUM(BH91:BH96)</f>
        <v>0</v>
      </c>
      <c r="BF97" s="301"/>
      <c r="BG97" s="301"/>
      <c r="BH97" s="182" t="str">
        <f>TEXT(SUM(BE99)/720,"0%")</f>
        <v>0%</v>
      </c>
      <c r="BI97" s="169"/>
      <c r="BJ97" s="326">
        <f>SUM(BM91:BM96)</f>
        <v>0</v>
      </c>
      <c r="BK97" s="301"/>
      <c r="BL97" s="301"/>
      <c r="BM97" s="182" t="str">
        <f>TEXT(SUM(BJ99)/720,"0%")</f>
        <v>0%</v>
      </c>
      <c r="BN97" s="169"/>
      <c r="BO97" s="326">
        <f>SUM(BR91:BR96)</f>
        <v>0</v>
      </c>
      <c r="BP97" s="301"/>
      <c r="BQ97" s="301"/>
      <c r="BR97" s="182" t="str">
        <f>TEXT(SUM(BO99)/720,"0%")</f>
        <v>0%</v>
      </c>
      <c r="BS97" s="169"/>
      <c r="BT97" s="326">
        <f>SUM(BW91:BW96)</f>
        <v>0</v>
      </c>
      <c r="BU97" s="301"/>
      <c r="BV97" s="301"/>
      <c r="BW97" s="182" t="str">
        <f>TEXT(SUM(BT99)/720,"0%")</f>
        <v>0%</v>
      </c>
      <c r="BX97" s="166"/>
      <c r="BY97" s="326">
        <f>SUM(CB91:CB96)</f>
        <v>0</v>
      </c>
      <c r="BZ97" s="301"/>
      <c r="CA97" s="301"/>
      <c r="CB97" s="182" t="str">
        <f>TEXT(SUM(BY99)/720,"0%")</f>
        <v>0%</v>
      </c>
      <c r="CC97" s="183"/>
      <c r="CD97" s="326">
        <f>SUM(CG91:CG96)</f>
        <v>0</v>
      </c>
      <c r="CE97" s="301"/>
      <c r="CF97" s="301"/>
      <c r="CG97" s="182" t="str">
        <f>TEXT(SUM(CD99)/720,"0%")</f>
        <v>0%</v>
      </c>
      <c r="CH97" s="183"/>
      <c r="CI97" s="326">
        <f>SUM(CL91:CL96)</f>
        <v>0</v>
      </c>
      <c r="CJ97" s="301"/>
      <c r="CK97" s="301"/>
      <c r="CL97" s="182" t="str">
        <f>TEXT(SUM(CI99)/720,"0%")</f>
        <v>0%</v>
      </c>
      <c r="CM97" s="183"/>
      <c r="CN97" s="326">
        <f>SUM(CQ91:CQ96)</f>
        <v>0</v>
      </c>
      <c r="CO97" s="301"/>
      <c r="CP97" s="301"/>
      <c r="CQ97" s="182" t="str">
        <f>TEXT(SUM(CN99)/720,"0%")</f>
        <v>0%</v>
      </c>
      <c r="CR97" s="183"/>
      <c r="CS97" s="326">
        <f>SUM(CV91:CV96)</f>
        <v>0</v>
      </c>
      <c r="CT97" s="301"/>
      <c r="CU97" s="301"/>
      <c r="CV97" s="182" t="str">
        <f>TEXT(SUM(CS99)/720,"0%")</f>
        <v>0%</v>
      </c>
      <c r="CW97" s="183"/>
      <c r="CX97" s="326">
        <f>SUM(DA91:DA96)</f>
        <v>0</v>
      </c>
      <c r="CY97" s="301"/>
      <c r="CZ97" s="301"/>
      <c r="DA97" s="182" t="str">
        <f>TEXT(SUM(CX99)/720,"0%")</f>
        <v>0%</v>
      </c>
      <c r="DB97" s="183"/>
      <c r="DC97" s="326">
        <f>SUM(DF91:DF96)</f>
        <v>0</v>
      </c>
      <c r="DD97" s="301"/>
      <c r="DE97" s="301"/>
      <c r="DF97" s="182" t="str">
        <f>TEXT(SUM(DC99)/720,"0%")</f>
        <v>0%</v>
      </c>
      <c r="DG97" s="183"/>
      <c r="DH97" s="326">
        <f>SUM(DK91:DK96)</f>
        <v>0</v>
      </c>
      <c r="DI97" s="301"/>
      <c r="DJ97" s="301"/>
      <c r="DK97" s="182" t="str">
        <f>TEXT(SUM(DH99)/720,"0%")</f>
        <v>0%</v>
      </c>
      <c r="DL97" s="183"/>
      <c r="DM97" s="326">
        <f>SUM(DP91:DP96)</f>
        <v>0</v>
      </c>
      <c r="DN97" s="301"/>
      <c r="DO97" s="301"/>
      <c r="DP97" s="182" t="str">
        <f>TEXT(SUM(DM99)/720,"0%")</f>
        <v>0%</v>
      </c>
      <c r="DQ97" s="183"/>
      <c r="DR97" s="326">
        <f>SUM(DU91:DU96)</f>
        <v>0</v>
      </c>
      <c r="DS97" s="301"/>
      <c r="DT97" s="301"/>
      <c r="DU97" s="182" t="str">
        <f>TEXT(SUM(DR99)/720,"0%")</f>
        <v>0%</v>
      </c>
      <c r="DV97" s="183"/>
      <c r="DW97" s="326">
        <f>SUM(DZ91:DZ96)</f>
        <v>0</v>
      </c>
      <c r="DX97" s="301"/>
      <c r="DY97" s="301"/>
      <c r="DZ97" s="182" t="str">
        <f>TEXT(SUM(DW99)/720,"0%")</f>
        <v>0%</v>
      </c>
      <c r="EA97" s="166"/>
      <c r="EB97" s="326">
        <f>SUM(EE91:EE96)</f>
        <v>0</v>
      </c>
      <c r="EC97" s="301"/>
      <c r="ED97" s="301"/>
      <c r="EE97" s="182" t="str">
        <f>TEXT(SUM(EB99)/720,"0%")</f>
        <v>0%</v>
      </c>
      <c r="EF97" s="166"/>
      <c r="EG97" s="326">
        <f>SUM(EJ91:EJ96)</f>
        <v>0</v>
      </c>
      <c r="EH97" s="301"/>
      <c r="EI97" s="301"/>
      <c r="EJ97" s="182" t="str">
        <f>TEXT(SUM(EG99)/720,"0%")</f>
        <v>0%</v>
      </c>
      <c r="EK97" s="166"/>
      <c r="EL97" s="326">
        <f>SUM(EO91:EO96)</f>
        <v>0</v>
      </c>
      <c r="EM97" s="301"/>
      <c r="EN97" s="301"/>
      <c r="EO97" s="182" t="str">
        <f>TEXT(SUM(EL99)/720,"0%")</f>
        <v>0%</v>
      </c>
      <c r="EP97" s="166"/>
      <c r="EQ97" s="326">
        <f>SUM(ET91:ET96)</f>
        <v>0</v>
      </c>
      <c r="ER97" s="301"/>
      <c r="ES97" s="301"/>
      <c r="ET97" s="182" t="str">
        <f>TEXT(SUM(EQ99)/720,"0%")</f>
        <v>0%</v>
      </c>
      <c r="EU97" s="166"/>
      <c r="EV97" s="326">
        <f>SUM(EY91:EY96)</f>
        <v>0</v>
      </c>
      <c r="EW97" s="301"/>
      <c r="EX97" s="301"/>
      <c r="EY97" s="182" t="str">
        <f>TEXT(SUM(EV99)/720,"0%")</f>
        <v>0%</v>
      </c>
      <c r="EZ97" s="166"/>
      <c r="FA97" s="8"/>
    </row>
    <row r="98" spans="1:157" ht="9.75" customHeight="1">
      <c r="A98" s="287"/>
      <c r="B98" s="287"/>
      <c r="C98" s="288"/>
      <c r="D98" s="287"/>
      <c r="E98" s="287"/>
      <c r="F98" s="287"/>
      <c r="G98" s="287"/>
      <c r="H98" s="287"/>
      <c r="I98" s="287"/>
      <c r="J98" s="287"/>
      <c r="K98" s="287"/>
      <c r="L98" s="287"/>
      <c r="M98" s="287"/>
      <c r="N98" s="287"/>
      <c r="O98" s="287"/>
      <c r="P98" s="287"/>
      <c r="Q98" s="287"/>
      <c r="R98" s="287"/>
      <c r="S98" s="287"/>
      <c r="T98" s="287"/>
      <c r="U98" s="287"/>
      <c r="V98" s="287"/>
      <c r="W98" s="287"/>
      <c r="X98" s="287"/>
      <c r="Y98" s="287"/>
      <c r="Z98" s="287"/>
      <c r="AA98" s="287"/>
      <c r="AB98" s="287"/>
      <c r="AC98" s="287"/>
      <c r="AD98" s="287"/>
      <c r="AE98" s="287"/>
      <c r="AF98" s="287"/>
      <c r="AG98" s="287"/>
      <c r="AH98" s="287"/>
      <c r="AI98" s="287"/>
      <c r="AJ98" s="287"/>
      <c r="AK98" s="287"/>
      <c r="AL98" s="287"/>
      <c r="AM98" s="287"/>
      <c r="AN98" s="287"/>
      <c r="AO98" s="287"/>
      <c r="AP98" s="287"/>
      <c r="AQ98" s="287"/>
      <c r="AR98" s="287"/>
      <c r="AS98" s="287"/>
      <c r="AT98" s="287"/>
      <c r="AU98" s="287"/>
      <c r="AV98" s="288"/>
      <c r="AW98" s="287"/>
      <c r="AX98" s="287"/>
      <c r="AY98" s="287"/>
      <c r="AZ98" s="287"/>
      <c r="BA98" s="288"/>
      <c r="BB98" s="287"/>
      <c r="BC98" s="287"/>
      <c r="BD98" s="287"/>
      <c r="BE98" s="287"/>
      <c r="BF98" s="288"/>
      <c r="BG98" s="287"/>
      <c r="BH98" s="287"/>
      <c r="BI98" s="287"/>
      <c r="BJ98" s="287"/>
      <c r="BK98" s="288"/>
      <c r="BL98" s="287"/>
      <c r="BM98" s="287"/>
      <c r="BN98" s="287"/>
      <c r="BO98" s="287"/>
      <c r="BP98" s="288"/>
      <c r="BQ98" s="287"/>
      <c r="BR98" s="287"/>
      <c r="BS98" s="287"/>
      <c r="BT98" s="287"/>
      <c r="BU98" s="288"/>
      <c r="BV98" s="287"/>
      <c r="BW98" s="287"/>
      <c r="BX98" s="287"/>
      <c r="BY98" s="170"/>
      <c r="BZ98" s="170"/>
      <c r="CA98" s="170"/>
      <c r="CB98" s="170"/>
      <c r="CC98" s="289"/>
      <c r="CD98" s="170"/>
      <c r="CE98" s="170"/>
      <c r="CF98" s="170"/>
      <c r="CG98" s="170"/>
      <c r="CH98" s="289"/>
      <c r="CI98" s="170"/>
      <c r="CJ98" s="170"/>
      <c r="CK98" s="170"/>
      <c r="CL98" s="170"/>
      <c r="CM98" s="289"/>
      <c r="CN98" s="170"/>
      <c r="CO98" s="170"/>
      <c r="CP98" s="170"/>
      <c r="CQ98" s="170"/>
      <c r="CR98" s="289"/>
      <c r="CS98" s="170"/>
      <c r="CT98" s="170"/>
      <c r="CU98" s="170"/>
      <c r="CV98" s="170"/>
      <c r="CW98" s="289"/>
      <c r="CX98" s="170"/>
      <c r="CY98" s="170"/>
      <c r="CZ98" s="170"/>
      <c r="DA98" s="170"/>
      <c r="DB98" s="289"/>
      <c r="DC98" s="170"/>
      <c r="DD98" s="170"/>
      <c r="DE98" s="170"/>
      <c r="DF98" s="170"/>
      <c r="DG98" s="289"/>
      <c r="DH98" s="170"/>
      <c r="DI98" s="170"/>
      <c r="DJ98" s="170"/>
      <c r="DK98" s="170"/>
      <c r="DL98" s="289"/>
      <c r="DM98" s="170"/>
      <c r="DN98" s="170"/>
      <c r="DO98" s="170"/>
      <c r="DP98" s="170"/>
      <c r="DQ98" s="289"/>
      <c r="DR98" s="289"/>
      <c r="DS98" s="289"/>
      <c r="DT98" s="289"/>
      <c r="DU98" s="289"/>
      <c r="DV98" s="289"/>
      <c r="DW98" s="289"/>
      <c r="DX98" s="289"/>
      <c r="DY98" s="289"/>
      <c r="DZ98" s="289"/>
      <c r="EA98" s="287"/>
      <c r="EB98" s="289"/>
      <c r="EC98" s="289"/>
      <c r="ED98" s="289"/>
      <c r="EE98" s="289"/>
      <c r="EF98" s="287"/>
      <c r="EG98" s="289"/>
      <c r="EH98" s="289"/>
      <c r="EI98" s="289"/>
      <c r="EJ98" s="289"/>
      <c r="EK98" s="287"/>
      <c r="EL98" s="289"/>
      <c r="EM98" s="289"/>
      <c r="EN98" s="289"/>
      <c r="EO98" s="289"/>
      <c r="EP98" s="287"/>
      <c r="EQ98" s="289"/>
      <c r="ER98" s="289"/>
      <c r="ES98" s="289"/>
      <c r="ET98" s="289"/>
      <c r="EU98" s="287"/>
      <c r="EV98" s="287"/>
      <c r="EW98" s="288"/>
      <c r="EX98" s="287"/>
      <c r="EY98" s="287"/>
      <c r="EZ98" s="287"/>
      <c r="FA98" s="143"/>
    </row>
    <row r="99" spans="1:157" ht="17.399999999999999">
      <c r="A99" s="300" t="s">
        <v>56</v>
      </c>
      <c r="B99" s="301"/>
      <c r="C99" s="301"/>
      <c r="D99" s="301"/>
      <c r="E99" s="301"/>
      <c r="F99" s="287"/>
      <c r="G99" s="300">
        <f>SUM(G9,G17,G25,G33,G41,G49,G57,G65,G73,G81,G89,G97)</f>
        <v>0</v>
      </c>
      <c r="H99" s="301"/>
      <c r="I99" s="301"/>
      <c r="J99" s="290" t="str">
        <f>AN99</f>
        <v>Pts.</v>
      </c>
      <c r="K99" s="291"/>
      <c r="L99" s="300">
        <f>SUM(L9,L17,L25,L33,L41,L49,L57,L65,L73,L81,L89,L97)</f>
        <v>0</v>
      </c>
      <c r="M99" s="301"/>
      <c r="N99" s="301"/>
      <c r="O99" s="290" t="str">
        <f>AS99</f>
        <v>Pts.</v>
      </c>
      <c r="P99" s="291"/>
      <c r="Q99" s="300">
        <f>SUM(Q9,Q17,Q25,Q33,Q41,Q49,Q57,Q65,Q73,Q81,Q89,Q97)</f>
        <v>0</v>
      </c>
      <c r="R99" s="301"/>
      <c r="S99" s="301"/>
      <c r="T99" s="290" t="str">
        <f>AX99</f>
        <v>Pts.</v>
      </c>
      <c r="U99" s="291"/>
      <c r="V99" s="300">
        <f>SUM(V9,V17,V25,V33,V41,V49,V57,V65,V73,V81,V89,V97)</f>
        <v>0</v>
      </c>
      <c r="W99" s="301"/>
      <c r="X99" s="301"/>
      <c r="Y99" s="290" t="str">
        <f>BC99</f>
        <v>Pts.</v>
      </c>
      <c r="Z99" s="291"/>
      <c r="AA99" s="300">
        <f>SUM(AA9,AA17,AA25,AA33,AA41,AA49,AA57,AA65,AA73,AA81,AA89,AA97)</f>
        <v>0</v>
      </c>
      <c r="AB99" s="301"/>
      <c r="AC99" s="301"/>
      <c r="AD99" s="290" t="str">
        <f>BH99</f>
        <v>Pts.</v>
      </c>
      <c r="AE99" s="291"/>
      <c r="AF99" s="300">
        <f>SUM(AF9,AF17,AF25,AF33,AF41,AF49,AF57,AF65,AF73,AF81,AF89,AF97)</f>
        <v>0</v>
      </c>
      <c r="AG99" s="301"/>
      <c r="AH99" s="301"/>
      <c r="AI99" s="290" t="str">
        <f>BW99</f>
        <v>Pts.</v>
      </c>
      <c r="AJ99" s="292"/>
      <c r="AK99" s="300">
        <f>SUM(AK9,AK17,AK25,AK33,AK41,AK49,AK57,AK65,AK73,AK81,AK89,AK97)</f>
        <v>0</v>
      </c>
      <c r="AL99" s="301"/>
      <c r="AM99" s="301"/>
      <c r="AN99" s="290" t="str">
        <f>BW99</f>
        <v>Pts.</v>
      </c>
      <c r="AO99" s="292"/>
      <c r="AP99" s="300">
        <f>SUM(AP9,AP17,AP25,AP33,AP41,AP49,AP57,AP65,AP73,AP81,AP89,AP97)</f>
        <v>0</v>
      </c>
      <c r="AQ99" s="301"/>
      <c r="AR99" s="301"/>
      <c r="AS99" s="290" t="str">
        <f>BW99</f>
        <v>Pts.</v>
      </c>
      <c r="AT99" s="292"/>
      <c r="AU99" s="300">
        <f>SUM(AU9,AU17,AU25,AU33,AU41,AU49,AU57,AU65,AU73,AU81,AU89,AU97)</f>
        <v>0</v>
      </c>
      <c r="AV99" s="301"/>
      <c r="AW99" s="301"/>
      <c r="AX99" s="290" t="str">
        <f>BW99</f>
        <v>Pts.</v>
      </c>
      <c r="AY99" s="293"/>
      <c r="AZ99" s="300">
        <f>SUM(AZ9,AZ17,AZ25,AZ33,AZ41,AZ49,AZ57,AZ65,AZ73,AZ81,AZ89,AZ97)</f>
        <v>0</v>
      </c>
      <c r="BA99" s="301"/>
      <c r="BB99" s="301"/>
      <c r="BC99" s="290" t="str">
        <f>BW99</f>
        <v>Pts.</v>
      </c>
      <c r="BD99" s="294"/>
      <c r="BE99" s="317">
        <f>SUM(BE9,BE17,BE25,BE33,BE41,BE49,BE57,BE65,BE73,BE81,BE89,BE97)</f>
        <v>0</v>
      </c>
      <c r="BF99" s="301"/>
      <c r="BG99" s="301"/>
      <c r="BH99" s="290" t="str">
        <f>BW99</f>
        <v>Pts.</v>
      </c>
      <c r="BI99" s="294"/>
      <c r="BJ99" s="317">
        <f>SUM(BJ9,BJ17,BJ25,BJ33,BJ41,BJ49,BJ57,BJ65,BJ73,BJ81,BJ89,BJ97)</f>
        <v>0</v>
      </c>
      <c r="BK99" s="301"/>
      <c r="BL99" s="301"/>
      <c r="BM99" s="290" t="str">
        <f>BW99</f>
        <v>Pts.</v>
      </c>
      <c r="BN99" s="294"/>
      <c r="BO99" s="317">
        <f>SUM(BO9,BO17,BO25,BO33,BO41,BO49,BO57,BO65,BO73,BO81,BO89,BO97)</f>
        <v>0</v>
      </c>
      <c r="BP99" s="301"/>
      <c r="BQ99" s="301"/>
      <c r="BR99" s="290" t="str">
        <f>BW99</f>
        <v>Pts.</v>
      </c>
      <c r="BS99" s="294"/>
      <c r="BT99" s="317">
        <f>SUM(BT9,BT17,BT25,BT33,BT41,BT49,BT57,BT65,BT73,BT81,BT89,BT97)</f>
        <v>0</v>
      </c>
      <c r="BU99" s="301"/>
      <c r="BV99" s="301"/>
      <c r="BW99" s="290" t="s">
        <v>14</v>
      </c>
      <c r="BX99" s="166"/>
      <c r="BY99" s="317">
        <f>SUM(BY9,BY17,BY25,BY33,BY41,BY49,BY57,BY65,BY73,BY81,BY89,BY97)</f>
        <v>0</v>
      </c>
      <c r="BZ99" s="301"/>
      <c r="CA99" s="301"/>
      <c r="CB99" s="295" t="s">
        <v>14</v>
      </c>
      <c r="CC99" s="183"/>
      <c r="CD99" s="317">
        <f>SUM(CD9,CD17,CD25,CD33,CD41,CD49,CD57,CD65,CD73,CD81,CD89,CD97)</f>
        <v>0</v>
      </c>
      <c r="CE99" s="301"/>
      <c r="CF99" s="301"/>
      <c r="CG99" s="295" t="s">
        <v>14</v>
      </c>
      <c r="CH99" s="183"/>
      <c r="CI99" s="317">
        <f>SUM(CI9,CI17,CI25,CI33,CI41,CI49,CI57,CI65,CI73,CI81,CI89,CI97)</f>
        <v>0</v>
      </c>
      <c r="CJ99" s="301"/>
      <c r="CK99" s="301"/>
      <c r="CL99" s="295" t="s">
        <v>14</v>
      </c>
      <c r="CM99" s="183"/>
      <c r="CN99" s="317">
        <f>SUM(CN9,CN17,CN25,CN33,CN41,CN49,CN57,CN65,CN73,CN81,CN89,CN97)</f>
        <v>0</v>
      </c>
      <c r="CO99" s="301"/>
      <c r="CP99" s="301"/>
      <c r="CQ99" s="295" t="s">
        <v>14</v>
      </c>
      <c r="CR99" s="183"/>
      <c r="CS99" s="317">
        <f>SUM(CS9,CS17,CS25,CS33,CS41,CS49,CS57,CS65,CS73,CS81,CS89,CS97)</f>
        <v>0</v>
      </c>
      <c r="CT99" s="301"/>
      <c r="CU99" s="301"/>
      <c r="CV99" s="295" t="s">
        <v>14</v>
      </c>
      <c r="CW99" s="183"/>
      <c r="CX99" s="317">
        <f>SUM(CX9,CX17,CX25,CX33,CX41,CX49,CX57,CX65,CX73,CX81,CX89,CX97)</f>
        <v>0</v>
      </c>
      <c r="CY99" s="301"/>
      <c r="CZ99" s="301"/>
      <c r="DA99" s="295" t="s">
        <v>14</v>
      </c>
      <c r="DB99" s="183"/>
      <c r="DC99" s="317">
        <f>SUM(DC9,DC17,DC25,DC33,DC41,DC49,DC57,DC65,DC73,DC81,DC89,DC97)</f>
        <v>0</v>
      </c>
      <c r="DD99" s="301"/>
      <c r="DE99" s="301"/>
      <c r="DF99" s="295" t="s">
        <v>14</v>
      </c>
      <c r="DG99" s="183"/>
      <c r="DH99" s="317">
        <f>SUM(DH9,DH17,DH25,DH33,DH41,DH49,DH57,DH65,DH73,DH81,DH89,DH97)</f>
        <v>0</v>
      </c>
      <c r="DI99" s="301"/>
      <c r="DJ99" s="301"/>
      <c r="DK99" s="295" t="s">
        <v>14</v>
      </c>
      <c r="DL99" s="183"/>
      <c r="DM99" s="317">
        <f>SUM(DM9,DM17,DM25,DM33,DM41,DM49,DM57,DM65,DM73,DM81,DM89,DM97)</f>
        <v>0</v>
      </c>
      <c r="DN99" s="301"/>
      <c r="DO99" s="301"/>
      <c r="DP99" s="295" t="s">
        <v>14</v>
      </c>
      <c r="DQ99" s="183"/>
      <c r="DR99" s="317">
        <f>SUM(DR9,DR17,DR25,DR33,DR41,DR49,DR57,DR65,DR73,DR81,DR89,DR97)</f>
        <v>0</v>
      </c>
      <c r="DS99" s="301"/>
      <c r="DT99" s="301"/>
      <c r="DU99" s="296" t="s">
        <v>14</v>
      </c>
      <c r="DV99" s="183"/>
      <c r="DW99" s="317">
        <f>SUM(DW9,DW17,DW25,DW33,DW41,DW49,DW57,DW65,DW73,DW81,DW89,DW97)</f>
        <v>0</v>
      </c>
      <c r="DX99" s="301"/>
      <c r="DY99" s="301"/>
      <c r="DZ99" s="296" t="s">
        <v>14</v>
      </c>
      <c r="EA99" s="166"/>
      <c r="EB99" s="317">
        <f>SUM(EB9,EB17,EB25,EB33,EB41,EB49,EB57,EB65,EB73,EB81,EB89,EB97)</f>
        <v>0</v>
      </c>
      <c r="EC99" s="301"/>
      <c r="ED99" s="301"/>
      <c r="EE99" s="296" t="s">
        <v>14</v>
      </c>
      <c r="EF99" s="166"/>
      <c r="EG99" s="317">
        <f>SUM(EG9,EG17,EG25,EG33,EG41,EG49,EG57,EG65,EG73,EG81,EG89,EG97)</f>
        <v>0</v>
      </c>
      <c r="EH99" s="301"/>
      <c r="EI99" s="301"/>
      <c r="EJ99" s="296" t="s">
        <v>14</v>
      </c>
      <c r="EK99" s="166"/>
      <c r="EL99" s="317">
        <f>SUM(EL9,EL17,EL25,EL33,EL41,EL49,EL57,EL65,EL73,EL81,EL89,EL97)</f>
        <v>0</v>
      </c>
      <c r="EM99" s="301"/>
      <c r="EN99" s="301"/>
      <c r="EO99" s="296" t="s">
        <v>14</v>
      </c>
      <c r="EP99" s="166"/>
      <c r="EQ99" s="317">
        <f>SUM(EQ9,EQ17,EQ25,EQ33,EQ41,EQ49,EQ57,EQ65,EQ73,EQ81,EQ89,EQ97)</f>
        <v>0</v>
      </c>
      <c r="ER99" s="301"/>
      <c r="ES99" s="301"/>
      <c r="ET99" s="296" t="s">
        <v>14</v>
      </c>
      <c r="EU99" s="166"/>
      <c r="EV99" s="317">
        <f>SUM(EV9,EV17,EV25,EV33,EV41,EV49,EV57,EV65,EV73,EV81,EV89,EV97)</f>
        <v>0</v>
      </c>
      <c r="EW99" s="301"/>
      <c r="EX99" s="301"/>
      <c r="EY99" s="290" t="s">
        <v>14</v>
      </c>
      <c r="EZ99" s="166"/>
      <c r="FA99" s="8"/>
    </row>
    <row r="100" spans="1:157" ht="9.75" customHeight="1">
      <c r="A100" s="287"/>
      <c r="B100" s="287"/>
      <c r="C100" s="288"/>
      <c r="D100" s="287"/>
      <c r="E100" s="287"/>
      <c r="F100" s="287"/>
      <c r="G100" s="287"/>
      <c r="H100" s="287"/>
      <c r="I100" s="287"/>
      <c r="J100" s="287"/>
      <c r="K100" s="287"/>
      <c r="L100" s="287"/>
      <c r="M100" s="287"/>
      <c r="N100" s="287"/>
      <c r="O100" s="287"/>
      <c r="P100" s="287"/>
      <c r="Q100" s="287"/>
      <c r="R100" s="287"/>
      <c r="S100" s="287"/>
      <c r="T100" s="287"/>
      <c r="U100" s="287"/>
      <c r="V100" s="287"/>
      <c r="W100" s="287"/>
      <c r="X100" s="287"/>
      <c r="Y100" s="287"/>
      <c r="Z100" s="287"/>
      <c r="AA100" s="287"/>
      <c r="AB100" s="287"/>
      <c r="AC100" s="287"/>
      <c r="AD100" s="287"/>
      <c r="AE100" s="287"/>
      <c r="AF100" s="287"/>
      <c r="AG100" s="287"/>
      <c r="AH100" s="287"/>
      <c r="AI100" s="287"/>
      <c r="AJ100" s="287"/>
      <c r="AK100" s="287"/>
      <c r="AL100" s="287"/>
      <c r="AM100" s="287"/>
      <c r="AN100" s="287"/>
      <c r="AO100" s="287"/>
      <c r="AP100" s="287"/>
      <c r="AQ100" s="287"/>
      <c r="AR100" s="287"/>
      <c r="AS100" s="287"/>
      <c r="AT100" s="287"/>
      <c r="AU100" s="287"/>
      <c r="AV100" s="288"/>
      <c r="AW100" s="287"/>
      <c r="AX100" s="287"/>
      <c r="AY100" s="287"/>
      <c r="AZ100" s="287"/>
      <c r="BA100" s="297"/>
      <c r="BB100" s="216"/>
      <c r="BC100" s="216"/>
      <c r="BD100" s="216"/>
      <c r="BE100" s="216"/>
      <c r="BF100" s="297"/>
      <c r="BG100" s="216"/>
      <c r="BH100" s="216"/>
      <c r="BI100" s="216"/>
      <c r="BJ100" s="216"/>
      <c r="BK100" s="297"/>
      <c r="BL100" s="216"/>
      <c r="BM100" s="216"/>
      <c r="BN100" s="216"/>
      <c r="BO100" s="216"/>
      <c r="BP100" s="297"/>
      <c r="BQ100" s="216"/>
      <c r="BR100" s="216"/>
      <c r="BS100" s="216"/>
      <c r="BT100" s="216"/>
      <c r="BU100" s="297"/>
      <c r="BV100" s="216"/>
      <c r="BW100" s="216"/>
      <c r="BX100" s="166"/>
      <c r="BY100" s="183"/>
      <c r="BZ100" s="183"/>
      <c r="CA100" s="183"/>
      <c r="CB100" s="183"/>
      <c r="CC100" s="183"/>
      <c r="CD100" s="183"/>
      <c r="CE100" s="183"/>
      <c r="CF100" s="183"/>
      <c r="CG100" s="183"/>
      <c r="CH100" s="183"/>
      <c r="CI100" s="183"/>
      <c r="CJ100" s="183"/>
      <c r="CK100" s="183"/>
      <c r="CL100" s="183"/>
      <c r="CM100" s="183"/>
      <c r="CN100" s="183"/>
      <c r="CO100" s="183"/>
      <c r="CP100" s="183"/>
      <c r="CQ100" s="183"/>
      <c r="CR100" s="183"/>
      <c r="CS100" s="183"/>
      <c r="CT100" s="183"/>
      <c r="CU100" s="183"/>
      <c r="CV100" s="183"/>
      <c r="CW100" s="183"/>
      <c r="CX100" s="183"/>
      <c r="CY100" s="183"/>
      <c r="CZ100" s="183"/>
      <c r="DA100" s="183"/>
      <c r="DB100" s="183"/>
      <c r="DC100" s="183"/>
      <c r="DD100" s="183"/>
      <c r="DE100" s="183"/>
      <c r="DF100" s="183"/>
      <c r="DG100" s="183"/>
      <c r="DH100" s="183"/>
      <c r="DI100" s="183"/>
      <c r="DJ100" s="183"/>
      <c r="DK100" s="183"/>
      <c r="DL100" s="183"/>
      <c r="DM100" s="183"/>
      <c r="DN100" s="183"/>
      <c r="DO100" s="183"/>
      <c r="DP100" s="183"/>
      <c r="DQ100" s="183"/>
      <c r="DR100" s="183"/>
      <c r="DS100" s="183"/>
      <c r="DT100" s="183"/>
      <c r="DU100" s="183"/>
      <c r="DV100" s="183"/>
      <c r="DW100" s="183"/>
      <c r="DX100" s="183"/>
      <c r="DY100" s="183"/>
      <c r="DZ100" s="183"/>
      <c r="EA100" s="166"/>
      <c r="EB100" s="183"/>
      <c r="EC100" s="183"/>
      <c r="ED100" s="183"/>
      <c r="EE100" s="183"/>
      <c r="EF100" s="166"/>
      <c r="EG100" s="183"/>
      <c r="EH100" s="183"/>
      <c r="EI100" s="183"/>
      <c r="EJ100" s="183"/>
      <c r="EK100" s="166"/>
      <c r="EL100" s="183"/>
      <c r="EM100" s="183"/>
      <c r="EN100" s="183"/>
      <c r="EO100" s="183"/>
      <c r="EP100" s="166"/>
      <c r="EQ100" s="183"/>
      <c r="ER100" s="183"/>
      <c r="ES100" s="183"/>
      <c r="ET100" s="183"/>
      <c r="EU100" s="166"/>
      <c r="EV100" s="216"/>
      <c r="EW100" s="297"/>
      <c r="EX100" s="216"/>
      <c r="EY100" s="216"/>
      <c r="EZ100" s="166"/>
      <c r="FA100" s="8"/>
    </row>
    <row r="101" spans="1:157" ht="17.399999999999999">
      <c r="A101" s="313" t="s">
        <v>57</v>
      </c>
      <c r="B101" s="301"/>
      <c r="C101" s="301"/>
      <c r="D101" s="301"/>
      <c r="E101" s="301"/>
      <c r="F101" s="169"/>
      <c r="G101" s="314" t="s">
        <v>58</v>
      </c>
      <c r="H101" s="301"/>
      <c r="I101" s="301"/>
      <c r="J101" s="301"/>
      <c r="K101" s="301"/>
      <c r="L101" s="301"/>
      <c r="M101" s="301"/>
      <c r="N101" s="301"/>
      <c r="O101" s="301"/>
      <c r="P101" s="301"/>
      <c r="Q101" s="301"/>
      <c r="R101" s="301"/>
      <c r="S101" s="301"/>
      <c r="T101" s="301"/>
      <c r="U101" s="301"/>
      <c r="AI101" s="143"/>
      <c r="AJ101" s="143"/>
      <c r="AK101" s="143"/>
      <c r="AL101" s="143"/>
      <c r="AM101" s="143"/>
      <c r="AN101" s="143"/>
      <c r="AO101" s="143"/>
      <c r="AP101" s="143"/>
      <c r="AQ101" s="143"/>
      <c r="AR101" s="143"/>
      <c r="AS101" s="143"/>
      <c r="AT101" s="143"/>
      <c r="AU101" s="143"/>
      <c r="AV101" s="143"/>
      <c r="AW101" s="143"/>
      <c r="AX101" s="143"/>
      <c r="AY101" s="143"/>
      <c r="AZ101" s="154"/>
      <c r="BA101" s="154"/>
      <c r="BB101" s="154"/>
      <c r="BC101" s="154"/>
      <c r="BD101" s="154"/>
      <c r="BE101" s="154"/>
      <c r="BF101" s="154"/>
      <c r="BG101" s="154"/>
      <c r="BH101" s="154"/>
      <c r="BI101" s="154"/>
      <c r="BJ101" s="154"/>
      <c r="BK101" s="154"/>
      <c r="BL101" s="154"/>
      <c r="BM101" s="154"/>
      <c r="BN101" s="154"/>
      <c r="BO101" s="154"/>
      <c r="BP101" s="154"/>
      <c r="BQ101" s="154"/>
      <c r="BR101" s="154"/>
      <c r="BS101" s="154"/>
      <c r="BT101" s="154"/>
      <c r="BU101" s="154"/>
      <c r="BV101" s="154"/>
      <c r="BW101" s="8"/>
      <c r="BX101" s="8"/>
      <c r="BY101" s="298"/>
      <c r="BZ101" s="298"/>
      <c r="CA101" s="298"/>
      <c r="CB101" s="298"/>
      <c r="CC101" s="298"/>
      <c r="CD101" s="298"/>
      <c r="CE101" s="298"/>
      <c r="CF101" s="298"/>
      <c r="CG101" s="298"/>
      <c r="CH101" s="298"/>
      <c r="CI101" s="298"/>
      <c r="CJ101" s="298"/>
      <c r="CK101" s="298"/>
      <c r="CL101" s="298"/>
      <c r="CM101" s="298"/>
      <c r="CN101" s="298"/>
      <c r="CO101" s="298"/>
      <c r="CP101" s="298"/>
      <c r="CQ101" s="298"/>
      <c r="CR101" s="298"/>
      <c r="CS101" s="298"/>
      <c r="CT101" s="298"/>
      <c r="CU101" s="298"/>
      <c r="CV101" s="298"/>
      <c r="CW101" s="298"/>
      <c r="CX101" s="298"/>
      <c r="CY101" s="298"/>
      <c r="CZ101" s="298"/>
      <c r="DA101" s="298"/>
      <c r="DB101" s="298"/>
      <c r="DC101" s="298"/>
      <c r="DD101" s="298"/>
      <c r="DE101" s="298"/>
      <c r="DF101" s="298"/>
      <c r="DG101" s="298"/>
      <c r="DH101" s="298"/>
      <c r="DI101" s="298"/>
      <c r="DJ101" s="298"/>
      <c r="DK101" s="298"/>
      <c r="DL101" s="298"/>
      <c r="DM101" s="298"/>
      <c r="DN101" s="298"/>
      <c r="DO101" s="298"/>
      <c r="DP101" s="298"/>
      <c r="DQ101" s="298"/>
      <c r="DR101" s="298"/>
      <c r="DS101" s="298"/>
      <c r="DT101" s="298"/>
      <c r="DU101" s="298"/>
      <c r="DV101" s="298"/>
      <c r="DW101" s="298"/>
      <c r="DX101" s="298"/>
      <c r="DY101" s="298"/>
      <c r="DZ101" s="298"/>
      <c r="EA101" s="8"/>
      <c r="EB101" s="298"/>
      <c r="EC101" s="298"/>
      <c r="ED101" s="298"/>
      <c r="EE101" s="298"/>
      <c r="EF101" s="8"/>
      <c r="EG101" s="298"/>
      <c r="EH101" s="298"/>
      <c r="EI101" s="298"/>
      <c r="EJ101" s="298"/>
      <c r="EK101" s="8"/>
      <c r="EL101" s="298"/>
      <c r="EM101" s="298"/>
      <c r="EN101" s="298"/>
      <c r="EO101" s="298"/>
      <c r="EP101" s="8"/>
      <c r="EQ101" s="298"/>
      <c r="ER101" s="298"/>
      <c r="ES101" s="298"/>
      <c r="ET101" s="298"/>
      <c r="EU101" s="8"/>
      <c r="EV101" s="154"/>
      <c r="EW101" s="154"/>
      <c r="EX101" s="154"/>
      <c r="EY101" s="8"/>
      <c r="EZ101" s="8"/>
      <c r="FA101" s="8"/>
    </row>
    <row r="102" spans="1:157" ht="17.399999999999999">
      <c r="A102" s="155" t="s">
        <v>59</v>
      </c>
      <c r="B102" s="315" t="s">
        <v>60</v>
      </c>
      <c r="C102" s="301"/>
      <c r="D102" s="301"/>
      <c r="E102" s="155" t="s">
        <v>61</v>
      </c>
      <c r="F102" s="299"/>
      <c r="G102" s="311" t="s">
        <v>62</v>
      </c>
      <c r="H102" s="301"/>
      <c r="I102" s="301"/>
      <c r="J102" s="301"/>
      <c r="K102" s="301"/>
      <c r="L102" s="301"/>
      <c r="M102" s="301"/>
      <c r="N102" s="301"/>
      <c r="O102" s="301"/>
      <c r="P102" s="301"/>
      <c r="Q102" s="301"/>
      <c r="R102" s="301"/>
      <c r="S102" s="301"/>
      <c r="T102" s="312" t="s">
        <v>63</v>
      </c>
      <c r="U102" s="301"/>
      <c r="AI102" s="157"/>
      <c r="AJ102" s="158"/>
      <c r="AQ102" s="157"/>
      <c r="AR102" s="157"/>
      <c r="AS102" s="159"/>
      <c r="AT102" s="159"/>
      <c r="AU102" s="159"/>
      <c r="AV102" s="159"/>
      <c r="AW102" s="159"/>
      <c r="AX102" s="159"/>
      <c r="AY102" s="159"/>
      <c r="AZ102" s="158"/>
      <c r="BA102" s="154"/>
      <c r="BB102" s="159"/>
      <c r="BC102" s="159"/>
      <c r="BD102" s="159"/>
      <c r="BE102" s="159"/>
      <c r="BF102" s="159"/>
      <c r="BG102" s="159"/>
      <c r="BH102" s="159"/>
      <c r="BI102" s="154"/>
      <c r="BJ102" s="154"/>
      <c r="BK102" s="154"/>
      <c r="BL102" s="154"/>
      <c r="BM102" s="154"/>
      <c r="BN102" s="160"/>
      <c r="BO102" s="154"/>
      <c r="BP102" s="154"/>
      <c r="BQ102" s="154"/>
      <c r="BR102" s="154"/>
      <c r="BS102" s="154"/>
      <c r="BT102" s="154"/>
      <c r="BU102" s="154"/>
      <c r="BV102" s="154"/>
      <c r="BW102" s="8"/>
      <c r="BX102" s="8"/>
      <c r="BY102" s="298"/>
      <c r="BZ102" s="298"/>
      <c r="CA102" s="298"/>
      <c r="CB102" s="298"/>
      <c r="CC102" s="298"/>
      <c r="CD102" s="298"/>
      <c r="CE102" s="298"/>
      <c r="CF102" s="298"/>
      <c r="CG102" s="298"/>
      <c r="CH102" s="298"/>
      <c r="CI102" s="298"/>
      <c r="CJ102" s="298"/>
      <c r="CK102" s="298"/>
      <c r="CL102" s="298"/>
      <c r="CM102" s="298"/>
      <c r="CN102" s="298"/>
      <c r="CO102" s="298"/>
      <c r="CP102" s="298"/>
      <c r="CQ102" s="298"/>
      <c r="CR102" s="298"/>
      <c r="CS102" s="298"/>
      <c r="CT102" s="298"/>
      <c r="CU102" s="298"/>
      <c r="CV102" s="298"/>
      <c r="CW102" s="298"/>
      <c r="CX102" s="298"/>
      <c r="CY102" s="298"/>
      <c r="CZ102" s="298"/>
      <c r="DA102" s="298"/>
      <c r="DB102" s="298"/>
      <c r="DC102" s="298"/>
      <c r="DD102" s="298"/>
      <c r="DE102" s="298"/>
      <c r="DF102" s="298"/>
      <c r="DG102" s="298"/>
      <c r="DH102" s="298"/>
      <c r="DI102" s="298"/>
      <c r="DJ102" s="298"/>
      <c r="DK102" s="298"/>
      <c r="DL102" s="298"/>
      <c r="DM102" s="298"/>
      <c r="DN102" s="298"/>
      <c r="DO102" s="298"/>
      <c r="DP102" s="298"/>
      <c r="DQ102" s="298"/>
      <c r="DR102" s="298"/>
      <c r="DS102" s="298"/>
      <c r="DT102" s="298"/>
      <c r="DU102" s="298"/>
      <c r="DV102" s="298"/>
      <c r="DW102" s="298"/>
      <c r="DX102" s="298"/>
      <c r="DY102" s="298"/>
      <c r="DZ102" s="298"/>
      <c r="EA102" s="8"/>
      <c r="EB102" s="298"/>
      <c r="EC102" s="298"/>
      <c r="ED102" s="298"/>
      <c r="EE102" s="298"/>
      <c r="EF102" s="8"/>
      <c r="EG102" s="298"/>
      <c r="EH102" s="298"/>
      <c r="EI102" s="298"/>
      <c r="EJ102" s="298"/>
      <c r="EK102" s="8"/>
      <c r="EL102" s="298"/>
      <c r="EM102" s="298"/>
      <c r="EN102" s="298"/>
      <c r="EO102" s="298"/>
      <c r="EP102" s="8"/>
      <c r="EQ102" s="298"/>
      <c r="ER102" s="298"/>
      <c r="ES102" s="298"/>
      <c r="ET102" s="298"/>
      <c r="EU102" s="8"/>
      <c r="EV102" s="154"/>
      <c r="EW102" s="154"/>
      <c r="EX102" s="154"/>
      <c r="EY102" s="8"/>
      <c r="EZ102" s="8"/>
      <c r="FA102" s="8"/>
    </row>
    <row r="103" spans="1:157" ht="17.399999999999999">
      <c r="A103" s="161" t="s">
        <v>8</v>
      </c>
      <c r="B103" s="308">
        <f t="array" ref="B103">IF(TRIM(A103)="",0,
   IFERROR(
      IF(INDEX($99:$99,1,MATCH(TRIM(A103),TRIM($1:$1),0))="",
         0,
         INDEX($99:$99,1,MATCH(TRIM(A103),TRIM($1:$1),0))
      ),
   0)
)</f>
        <v>0</v>
      </c>
      <c r="C103" s="301"/>
      <c r="D103" s="301"/>
      <c r="E103" s="161" t="str">
        <f t="shared" ref="E103:E132" si="360">IF(B103=0, "0", RANK(B103, $B$103:$B$132, FALSE) &amp; "º")</f>
        <v>0</v>
      </c>
      <c r="F103" s="299"/>
      <c r="G103" s="309" t="s">
        <v>64</v>
      </c>
      <c r="H103" s="301"/>
      <c r="I103" s="301"/>
      <c r="J103" s="301"/>
      <c r="K103" s="301"/>
      <c r="L103" s="301"/>
      <c r="M103" s="301"/>
      <c r="N103" s="301"/>
      <c r="O103" s="301"/>
      <c r="P103" s="301"/>
      <c r="Q103" s="301"/>
      <c r="R103" s="301"/>
      <c r="S103" s="301"/>
      <c r="T103" s="310" t="s">
        <v>65</v>
      </c>
      <c r="U103" s="301"/>
      <c r="AI103" s="157"/>
      <c r="AJ103" s="158"/>
      <c r="AQ103" s="157"/>
      <c r="AR103" s="157"/>
      <c r="AS103" s="159"/>
      <c r="AT103" s="159"/>
      <c r="AU103" s="159"/>
      <c r="AV103" s="159"/>
      <c r="AW103" s="159"/>
      <c r="AX103" s="159"/>
      <c r="AY103" s="159"/>
      <c r="AZ103" s="158"/>
      <c r="BA103" s="154"/>
      <c r="BB103" s="159"/>
      <c r="BC103" s="159"/>
      <c r="BD103" s="159"/>
      <c r="BE103" s="159"/>
      <c r="BF103" s="159"/>
      <c r="BG103" s="159"/>
      <c r="BH103" s="159"/>
      <c r="BI103" s="154"/>
      <c r="BJ103" s="154"/>
      <c r="BK103" s="154"/>
      <c r="BL103" s="154"/>
      <c r="BM103" s="154"/>
      <c r="BN103" s="160"/>
      <c r="BO103" s="154"/>
      <c r="BP103" s="154"/>
      <c r="BQ103" s="154"/>
      <c r="BR103" s="154"/>
      <c r="BS103" s="154"/>
      <c r="BT103" s="154"/>
      <c r="BU103" s="154"/>
      <c r="BV103" s="154"/>
      <c r="BW103" s="8"/>
      <c r="BX103" s="8"/>
      <c r="BY103" s="298"/>
      <c r="BZ103" s="298"/>
      <c r="CA103" s="298"/>
      <c r="CB103" s="298"/>
      <c r="CC103" s="298"/>
      <c r="CD103" s="298"/>
      <c r="CE103" s="298"/>
      <c r="CF103" s="298"/>
      <c r="CG103" s="298"/>
      <c r="CH103" s="298"/>
      <c r="CI103" s="298"/>
      <c r="CJ103" s="298"/>
      <c r="CK103" s="298"/>
      <c r="CL103" s="298"/>
      <c r="CM103" s="298"/>
      <c r="CN103" s="298"/>
      <c r="CO103" s="298"/>
      <c r="CP103" s="298"/>
      <c r="CQ103" s="298"/>
      <c r="CR103" s="298"/>
      <c r="CS103" s="298"/>
      <c r="CT103" s="298"/>
      <c r="CU103" s="298"/>
      <c r="CV103" s="298"/>
      <c r="CW103" s="298"/>
      <c r="CX103" s="298"/>
      <c r="CY103" s="298"/>
      <c r="CZ103" s="298"/>
      <c r="DA103" s="298"/>
      <c r="DB103" s="298"/>
      <c r="DC103" s="298"/>
      <c r="DD103" s="298"/>
      <c r="DE103" s="298"/>
      <c r="DF103" s="298"/>
      <c r="DG103" s="298"/>
      <c r="DH103" s="298"/>
      <c r="DI103" s="298"/>
      <c r="DJ103" s="298"/>
      <c r="DK103" s="298"/>
      <c r="DL103" s="298"/>
      <c r="DM103" s="298"/>
      <c r="DN103" s="298"/>
      <c r="DO103" s="298"/>
      <c r="DP103" s="298"/>
      <c r="DQ103" s="298"/>
      <c r="DR103" s="298"/>
      <c r="DS103" s="298"/>
      <c r="DT103" s="298"/>
      <c r="DU103" s="298"/>
      <c r="DV103" s="298"/>
      <c r="DW103" s="298"/>
      <c r="DX103" s="298"/>
      <c r="DY103" s="298"/>
      <c r="DZ103" s="298"/>
      <c r="EA103" s="8"/>
      <c r="EB103" s="298"/>
      <c r="EC103" s="298"/>
      <c r="ED103" s="298"/>
      <c r="EE103" s="298"/>
      <c r="EF103" s="8"/>
      <c r="EG103" s="298"/>
      <c r="EH103" s="298"/>
      <c r="EI103" s="298"/>
      <c r="EJ103" s="298"/>
      <c r="EK103" s="8"/>
      <c r="EL103" s="298"/>
      <c r="EM103" s="298"/>
      <c r="EN103" s="298"/>
      <c r="EO103" s="298"/>
      <c r="EP103" s="8"/>
      <c r="EQ103" s="298"/>
      <c r="ER103" s="298"/>
      <c r="ES103" s="298"/>
      <c r="ET103" s="298"/>
      <c r="EU103" s="8"/>
      <c r="EV103" s="154"/>
      <c r="EW103" s="154"/>
      <c r="EX103" s="154"/>
      <c r="EY103" s="8"/>
      <c r="EZ103" s="8"/>
      <c r="FA103" s="8"/>
    </row>
    <row r="104" spans="1:157" ht="17.399999999999999">
      <c r="A104" s="162" t="s">
        <v>4</v>
      </c>
      <c r="B104" s="307">
        <f t="array" ref="B104">IF(TRIM(A104)="",0,
   IFERROR(
      IF(INDEX($99:$99,1,MATCH(TRIM(A104),TRIM($1:$1),0))="",
         0,
         INDEX($99:$99,1,MATCH(TRIM(A104),TRIM($1:$1),0))
      ),
   0)
)</f>
        <v>0</v>
      </c>
      <c r="C104" s="301"/>
      <c r="D104" s="301"/>
      <c r="E104" s="162" t="str">
        <f t="shared" si="360"/>
        <v>0</v>
      </c>
      <c r="F104" s="299"/>
      <c r="G104" s="311" t="s">
        <v>66</v>
      </c>
      <c r="H104" s="301"/>
      <c r="I104" s="301"/>
      <c r="J104" s="301"/>
      <c r="K104" s="301"/>
      <c r="L104" s="301"/>
      <c r="M104" s="301"/>
      <c r="N104" s="301"/>
      <c r="O104" s="301"/>
      <c r="P104" s="301"/>
      <c r="Q104" s="301"/>
      <c r="R104" s="301"/>
      <c r="S104" s="301"/>
      <c r="T104" s="312" t="s">
        <v>67</v>
      </c>
      <c r="U104" s="301"/>
      <c r="AI104" s="157"/>
      <c r="AJ104" s="163"/>
      <c r="AQ104" s="158"/>
      <c r="AR104" s="159"/>
      <c r="AS104" s="159"/>
      <c r="AT104" s="159"/>
      <c r="AU104" s="159"/>
      <c r="AV104" s="159"/>
      <c r="AW104" s="159"/>
      <c r="AX104" s="159"/>
      <c r="AY104" s="159"/>
      <c r="AZ104" s="158"/>
      <c r="BA104" s="154"/>
      <c r="BB104" s="159"/>
      <c r="BC104" s="159"/>
      <c r="BD104" s="159"/>
      <c r="BE104" s="159"/>
      <c r="BF104" s="159"/>
      <c r="BG104" s="159"/>
      <c r="BH104" s="159"/>
      <c r="BI104" s="154"/>
      <c r="BJ104" s="154"/>
      <c r="BK104" s="154"/>
      <c r="BL104" s="154"/>
      <c r="BM104" s="154"/>
      <c r="BN104" s="160"/>
      <c r="BO104" s="154"/>
      <c r="BP104" s="154"/>
      <c r="BQ104" s="154"/>
      <c r="BR104" s="154"/>
      <c r="BS104" s="154"/>
      <c r="BT104" s="154"/>
      <c r="BU104" s="154"/>
      <c r="BV104" s="154"/>
      <c r="BW104" s="8"/>
      <c r="BX104" s="8"/>
      <c r="BY104" s="298"/>
      <c r="BZ104" s="298"/>
      <c r="CA104" s="298"/>
      <c r="CB104" s="298"/>
      <c r="CC104" s="298"/>
      <c r="CD104" s="298"/>
      <c r="CE104" s="298"/>
      <c r="CF104" s="298"/>
      <c r="CG104" s="298"/>
      <c r="CH104" s="298"/>
      <c r="CI104" s="298"/>
      <c r="CJ104" s="298"/>
      <c r="CK104" s="298"/>
      <c r="CL104" s="298"/>
      <c r="CM104" s="298"/>
      <c r="CN104" s="298"/>
      <c r="CO104" s="298"/>
      <c r="CP104" s="298"/>
      <c r="CQ104" s="298"/>
      <c r="CR104" s="298"/>
      <c r="CS104" s="298"/>
      <c r="CT104" s="298"/>
      <c r="CU104" s="298"/>
      <c r="CV104" s="298"/>
      <c r="CW104" s="298"/>
      <c r="CX104" s="298"/>
      <c r="CY104" s="298"/>
      <c r="CZ104" s="298"/>
      <c r="DA104" s="298"/>
      <c r="DB104" s="298"/>
      <c r="DC104" s="298"/>
      <c r="DD104" s="298"/>
      <c r="DE104" s="298"/>
      <c r="DF104" s="298"/>
      <c r="DG104" s="298"/>
      <c r="DH104" s="298"/>
      <c r="DI104" s="298"/>
      <c r="DJ104" s="298"/>
      <c r="DK104" s="298"/>
      <c r="DL104" s="298"/>
      <c r="DM104" s="298"/>
      <c r="DN104" s="298"/>
      <c r="DO104" s="298"/>
      <c r="DP104" s="298"/>
      <c r="DQ104" s="298"/>
      <c r="DR104" s="298"/>
      <c r="DS104" s="298"/>
      <c r="DT104" s="298"/>
      <c r="DU104" s="298"/>
      <c r="DV104" s="298"/>
      <c r="DW104" s="298"/>
      <c r="DX104" s="298"/>
      <c r="DY104" s="298"/>
      <c r="DZ104" s="298"/>
      <c r="EA104" s="8"/>
      <c r="EB104" s="298"/>
      <c r="EC104" s="298"/>
      <c r="ED104" s="298"/>
      <c r="EE104" s="298"/>
      <c r="EF104" s="8"/>
      <c r="EG104" s="298"/>
      <c r="EH104" s="298"/>
      <c r="EI104" s="298"/>
      <c r="EJ104" s="298"/>
      <c r="EK104" s="8"/>
      <c r="EL104" s="298"/>
      <c r="EM104" s="298"/>
      <c r="EN104" s="298"/>
      <c r="EO104" s="298"/>
      <c r="EP104" s="8"/>
      <c r="EQ104" s="298"/>
      <c r="ER104" s="298"/>
      <c r="ES104" s="298"/>
      <c r="ET104" s="298"/>
      <c r="EU104" s="8"/>
      <c r="EV104" s="154"/>
      <c r="EW104" s="154"/>
      <c r="EX104" s="154"/>
      <c r="EY104" s="8"/>
      <c r="EZ104" s="8"/>
      <c r="FA104" s="8"/>
    </row>
    <row r="105" spans="1:157" ht="17.399999999999999">
      <c r="A105" s="161" t="s">
        <v>1</v>
      </c>
      <c r="B105" s="308">
        <f t="array" ref="B105">IF(TRIM(A105)="",0,
   IFERROR(
      IF(INDEX($99:$99,1,MATCH(TRIM(A105),TRIM($1:$1),0))="",
         0,
         INDEX($99:$99,1,MATCH(TRIM(A105),TRIM($1:$1),0))
      ),
   0)
)</f>
        <v>0</v>
      </c>
      <c r="C105" s="301"/>
      <c r="D105" s="301"/>
      <c r="E105" s="161" t="str">
        <f t="shared" si="360"/>
        <v>0</v>
      </c>
      <c r="F105" s="299"/>
      <c r="G105" s="309" t="s">
        <v>68</v>
      </c>
      <c r="H105" s="301"/>
      <c r="I105" s="301"/>
      <c r="J105" s="301"/>
      <c r="K105" s="301"/>
      <c r="L105" s="301"/>
      <c r="M105" s="301"/>
      <c r="N105" s="301"/>
      <c r="O105" s="301"/>
      <c r="P105" s="301"/>
      <c r="Q105" s="301"/>
      <c r="R105" s="301"/>
      <c r="S105" s="301"/>
      <c r="T105" s="310" t="s">
        <v>69</v>
      </c>
      <c r="U105" s="301"/>
      <c r="AI105" s="157"/>
      <c r="AJ105" s="163"/>
      <c r="AQ105" s="158"/>
      <c r="AR105" s="159"/>
      <c r="AS105" s="159"/>
      <c r="AT105" s="159"/>
      <c r="AU105" s="159"/>
      <c r="AV105" s="159"/>
      <c r="AW105" s="159"/>
      <c r="AX105" s="159"/>
      <c r="AY105" s="159"/>
      <c r="AZ105" s="158"/>
      <c r="BA105" s="154"/>
      <c r="BB105" s="159"/>
      <c r="BC105" s="159"/>
      <c r="BD105" s="159"/>
      <c r="BE105" s="159"/>
      <c r="BF105" s="159"/>
      <c r="BG105" s="159"/>
      <c r="BH105" s="159"/>
      <c r="BI105" s="154"/>
      <c r="BJ105" s="154"/>
      <c r="BK105" s="154"/>
      <c r="BL105" s="154"/>
      <c r="BM105" s="154"/>
      <c r="BN105" s="160"/>
      <c r="BO105" s="154"/>
      <c r="BP105" s="154"/>
      <c r="BQ105" s="154"/>
      <c r="BR105" s="154"/>
      <c r="BS105" s="154"/>
      <c r="BT105" s="154"/>
      <c r="BU105" s="154"/>
      <c r="BV105" s="154"/>
      <c r="BW105" s="8"/>
      <c r="BX105" s="8"/>
      <c r="BY105" s="298"/>
      <c r="BZ105" s="298"/>
      <c r="CA105" s="298"/>
      <c r="CB105" s="298"/>
      <c r="CC105" s="298"/>
      <c r="CD105" s="298"/>
      <c r="CE105" s="298"/>
      <c r="CF105" s="298"/>
      <c r="CG105" s="298"/>
      <c r="CH105" s="298"/>
      <c r="CI105" s="298"/>
      <c r="CJ105" s="298"/>
      <c r="CK105" s="298"/>
      <c r="CL105" s="298"/>
      <c r="CM105" s="298"/>
      <c r="CN105" s="298"/>
      <c r="CO105" s="298"/>
      <c r="CP105" s="298"/>
      <c r="CQ105" s="298"/>
      <c r="CR105" s="298"/>
      <c r="CS105" s="298"/>
      <c r="CT105" s="298"/>
      <c r="CU105" s="298"/>
      <c r="CV105" s="298"/>
      <c r="CW105" s="298"/>
      <c r="CX105" s="298"/>
      <c r="CY105" s="298"/>
      <c r="CZ105" s="298"/>
      <c r="DA105" s="298"/>
      <c r="DB105" s="298"/>
      <c r="DC105" s="298"/>
      <c r="DD105" s="298"/>
      <c r="DE105" s="298"/>
      <c r="DF105" s="298"/>
      <c r="DG105" s="298"/>
      <c r="DH105" s="298"/>
      <c r="DI105" s="298"/>
      <c r="DJ105" s="298"/>
      <c r="DK105" s="298"/>
      <c r="DL105" s="298"/>
      <c r="DM105" s="298"/>
      <c r="DN105" s="298"/>
      <c r="DO105" s="298"/>
      <c r="DP105" s="298"/>
      <c r="DQ105" s="298"/>
      <c r="DR105" s="298"/>
      <c r="DS105" s="298"/>
      <c r="DT105" s="298"/>
      <c r="DU105" s="298"/>
      <c r="DV105" s="298"/>
      <c r="DW105" s="298"/>
      <c r="DX105" s="298"/>
      <c r="DY105" s="298"/>
      <c r="DZ105" s="298"/>
      <c r="EA105" s="8"/>
      <c r="EB105" s="298"/>
      <c r="EC105" s="298"/>
      <c r="ED105" s="298"/>
      <c r="EE105" s="298"/>
      <c r="EF105" s="8"/>
      <c r="EG105" s="298"/>
      <c r="EH105" s="298"/>
      <c r="EI105" s="298"/>
      <c r="EJ105" s="298"/>
      <c r="EK105" s="8"/>
      <c r="EL105" s="298"/>
      <c r="EM105" s="298"/>
      <c r="EN105" s="298"/>
      <c r="EO105" s="298"/>
      <c r="EP105" s="8"/>
      <c r="EQ105" s="298"/>
      <c r="ER105" s="298"/>
      <c r="ES105" s="298"/>
      <c r="ET105" s="298"/>
      <c r="EU105" s="8"/>
      <c r="EV105" s="154"/>
      <c r="EW105" s="154"/>
      <c r="EX105" s="154"/>
      <c r="EY105" s="8"/>
      <c r="EZ105" s="8"/>
      <c r="FA105" s="8"/>
    </row>
    <row r="106" spans="1:157" ht="17.399999999999999">
      <c r="A106" s="162" t="s">
        <v>6</v>
      </c>
      <c r="B106" s="307">
        <f t="array" ref="B106">IF(TRIM(A106)="",0,
   IFERROR(
      IF(INDEX($99:$99,1,MATCH(TRIM(A106),TRIM($1:$1),0))="",
         0,
         INDEX($99:$99,1,MATCH(TRIM(A106),TRIM($1:$1),0))
      ),
   0)
)</f>
        <v>0</v>
      </c>
      <c r="C106" s="301"/>
      <c r="D106" s="301"/>
      <c r="E106" s="162" t="str">
        <f t="shared" si="360"/>
        <v>0</v>
      </c>
      <c r="F106" s="299"/>
      <c r="G106" s="311" t="s">
        <v>71</v>
      </c>
      <c r="H106" s="301"/>
      <c r="I106" s="301"/>
      <c r="J106" s="301"/>
      <c r="K106" s="301"/>
      <c r="L106" s="301"/>
      <c r="M106" s="301"/>
      <c r="N106" s="301"/>
      <c r="O106" s="301"/>
      <c r="P106" s="301"/>
      <c r="Q106" s="301"/>
      <c r="R106" s="301"/>
      <c r="S106" s="301"/>
      <c r="T106" s="312" t="s">
        <v>72</v>
      </c>
      <c r="U106" s="301"/>
      <c r="AI106" s="157"/>
      <c r="AJ106" s="163"/>
      <c r="AQ106" s="158"/>
      <c r="AR106" s="159"/>
      <c r="AS106" s="159"/>
      <c r="AT106" s="159"/>
      <c r="AU106" s="159"/>
      <c r="AV106" s="159"/>
      <c r="AW106" s="159"/>
      <c r="AX106" s="159"/>
      <c r="AY106" s="159"/>
      <c r="AZ106" s="158"/>
      <c r="BA106" s="154"/>
      <c r="BB106" s="159"/>
      <c r="BC106" s="159"/>
      <c r="BD106" s="159"/>
      <c r="BE106" s="159"/>
      <c r="BF106" s="159"/>
      <c r="BG106" s="159"/>
      <c r="BH106" s="159"/>
      <c r="BI106" s="154"/>
      <c r="BJ106" s="154"/>
      <c r="BK106" s="154"/>
      <c r="BL106" s="154"/>
      <c r="BM106" s="154"/>
      <c r="BN106" s="160"/>
      <c r="BO106" s="154"/>
      <c r="BP106" s="154"/>
      <c r="BQ106" s="154"/>
      <c r="BR106" s="154"/>
      <c r="BS106" s="154"/>
      <c r="BT106" s="154"/>
      <c r="BU106" s="154"/>
      <c r="BV106" s="154"/>
      <c r="BW106" s="8"/>
      <c r="BX106" s="8"/>
      <c r="BY106" s="298"/>
      <c r="BZ106" s="298"/>
      <c r="CA106" s="298"/>
      <c r="CB106" s="298"/>
      <c r="CC106" s="298"/>
      <c r="CD106" s="298"/>
      <c r="CE106" s="298"/>
      <c r="CF106" s="298"/>
      <c r="CG106" s="298"/>
      <c r="CH106" s="298"/>
      <c r="CI106" s="298"/>
      <c r="CJ106" s="298"/>
      <c r="CK106" s="298"/>
      <c r="CL106" s="298"/>
      <c r="CM106" s="298"/>
      <c r="CN106" s="298"/>
      <c r="CO106" s="298"/>
      <c r="CP106" s="298"/>
      <c r="CQ106" s="298"/>
      <c r="CR106" s="298"/>
      <c r="CS106" s="298"/>
      <c r="CT106" s="298"/>
      <c r="CU106" s="298"/>
      <c r="CV106" s="298"/>
      <c r="CW106" s="298"/>
      <c r="CX106" s="298"/>
      <c r="CY106" s="298"/>
      <c r="CZ106" s="298"/>
      <c r="DA106" s="298"/>
      <c r="DB106" s="298"/>
      <c r="DC106" s="298"/>
      <c r="DD106" s="298"/>
      <c r="DE106" s="298"/>
      <c r="DF106" s="298"/>
      <c r="DG106" s="298"/>
      <c r="DH106" s="298"/>
      <c r="DI106" s="298"/>
      <c r="DJ106" s="298"/>
      <c r="DK106" s="298"/>
      <c r="DL106" s="298"/>
      <c r="DM106" s="298"/>
      <c r="DN106" s="298"/>
      <c r="DO106" s="298"/>
      <c r="DP106" s="298"/>
      <c r="DQ106" s="298"/>
      <c r="DR106" s="298"/>
      <c r="DS106" s="298"/>
      <c r="DT106" s="298"/>
      <c r="DU106" s="298"/>
      <c r="DV106" s="298"/>
      <c r="DW106" s="298"/>
      <c r="DX106" s="298"/>
      <c r="DY106" s="298"/>
      <c r="DZ106" s="298"/>
      <c r="EA106" s="8"/>
      <c r="EB106" s="298"/>
      <c r="EC106" s="298"/>
      <c r="ED106" s="298"/>
      <c r="EE106" s="298"/>
      <c r="EF106" s="8"/>
      <c r="EG106" s="298"/>
      <c r="EH106" s="298"/>
      <c r="EI106" s="298"/>
      <c r="EJ106" s="298"/>
      <c r="EK106" s="8"/>
      <c r="EL106" s="298"/>
      <c r="EM106" s="298"/>
      <c r="EN106" s="298"/>
      <c r="EO106" s="298"/>
      <c r="EP106" s="8"/>
      <c r="EQ106" s="298"/>
      <c r="ER106" s="298"/>
      <c r="ES106" s="298"/>
      <c r="ET106" s="298"/>
      <c r="EU106" s="8"/>
      <c r="EV106" s="154"/>
      <c r="EW106" s="154"/>
      <c r="EX106" s="154"/>
      <c r="EY106" s="8"/>
      <c r="EZ106" s="8"/>
      <c r="FA106" s="8"/>
    </row>
    <row r="107" spans="1:157" ht="17.399999999999999">
      <c r="A107" s="161" t="s">
        <v>5</v>
      </c>
      <c r="B107" s="308">
        <f t="array" ref="B107">IF(TRIM(A107)="",0,
   IFERROR(
      IF(INDEX($99:$99,1,MATCH(TRIM(A107),TRIM($1:$1),0))="",
         0,
         INDEX($99:$99,1,MATCH(TRIM(A107),TRIM($1:$1),0))
      ),
   0)
)</f>
        <v>0</v>
      </c>
      <c r="C107" s="301"/>
      <c r="D107" s="301"/>
      <c r="E107" s="161" t="str">
        <f t="shared" si="360"/>
        <v>0</v>
      </c>
      <c r="F107" s="299"/>
      <c r="AJ107" s="157"/>
      <c r="AK107" s="163"/>
      <c r="AR107" s="158"/>
      <c r="AS107" s="159"/>
      <c r="AT107" s="159"/>
      <c r="AU107" s="159"/>
      <c r="AV107" s="159"/>
      <c r="AW107" s="159"/>
      <c r="AX107" s="159"/>
      <c r="AY107" s="159"/>
      <c r="AZ107" s="159"/>
      <c r="BA107" s="158"/>
      <c r="BB107" s="154"/>
      <c r="BC107" s="159"/>
      <c r="BD107" s="159"/>
      <c r="BE107" s="159"/>
      <c r="BF107" s="159"/>
      <c r="BG107" s="159"/>
      <c r="BH107" s="159"/>
      <c r="BI107" s="159"/>
      <c r="BJ107" s="154"/>
      <c r="BK107" s="154"/>
      <c r="BL107" s="154"/>
      <c r="BM107" s="154"/>
      <c r="BN107" s="154"/>
      <c r="BO107" s="160"/>
      <c r="BP107" s="154"/>
      <c r="BQ107" s="154"/>
      <c r="BR107" s="154"/>
      <c r="BS107" s="154"/>
      <c r="BT107" s="154"/>
      <c r="BU107" s="154"/>
      <c r="BV107" s="154"/>
      <c r="BW107" s="154"/>
      <c r="BX107" s="8"/>
      <c r="BY107" s="298"/>
      <c r="BZ107" s="298"/>
      <c r="CA107" s="298"/>
      <c r="CB107" s="298"/>
      <c r="CC107" s="298"/>
      <c r="CD107" s="298"/>
      <c r="CE107" s="298"/>
      <c r="CF107" s="298"/>
      <c r="CG107" s="298"/>
      <c r="CH107" s="298"/>
      <c r="CI107" s="298"/>
      <c r="CJ107" s="298"/>
      <c r="CK107" s="298"/>
      <c r="CL107" s="298"/>
      <c r="CM107" s="298"/>
      <c r="CN107" s="298"/>
      <c r="CO107" s="298"/>
      <c r="CP107" s="298"/>
      <c r="CQ107" s="298"/>
      <c r="CR107" s="298"/>
      <c r="CS107" s="298"/>
      <c r="CT107" s="298"/>
      <c r="CU107" s="298"/>
      <c r="CV107" s="298"/>
      <c r="CW107" s="298"/>
      <c r="CX107" s="298"/>
      <c r="CY107" s="298"/>
      <c r="CZ107" s="298"/>
      <c r="DA107" s="298"/>
      <c r="DB107" s="298"/>
      <c r="DC107" s="298"/>
      <c r="DD107" s="298"/>
      <c r="DE107" s="298"/>
      <c r="DF107" s="298"/>
      <c r="DG107" s="298"/>
      <c r="DH107" s="298"/>
      <c r="DI107" s="298"/>
      <c r="DJ107" s="298"/>
      <c r="DK107" s="298"/>
      <c r="DL107" s="298"/>
      <c r="DM107" s="298"/>
      <c r="DN107" s="298"/>
      <c r="DO107" s="298"/>
      <c r="DP107" s="298"/>
      <c r="DQ107" s="298"/>
      <c r="DR107" s="298"/>
      <c r="DS107" s="298"/>
      <c r="DT107" s="298"/>
      <c r="DU107" s="298"/>
      <c r="DV107" s="298"/>
      <c r="DW107" s="298"/>
      <c r="DX107" s="298"/>
      <c r="DY107" s="298"/>
      <c r="DZ107" s="298"/>
      <c r="EA107" s="8"/>
      <c r="EB107" s="298"/>
      <c r="EC107" s="298"/>
      <c r="ED107" s="298"/>
      <c r="EE107" s="298"/>
      <c r="EF107" s="8"/>
      <c r="EG107" s="298"/>
      <c r="EH107" s="298"/>
      <c r="EI107" s="298"/>
      <c r="EJ107" s="298"/>
      <c r="EK107" s="8"/>
      <c r="EL107" s="298"/>
      <c r="EM107" s="298"/>
      <c r="EN107" s="298"/>
      <c r="EO107" s="298"/>
      <c r="EP107" s="8"/>
      <c r="EQ107" s="298"/>
      <c r="ER107" s="298"/>
      <c r="ES107" s="298"/>
      <c r="ET107" s="298"/>
      <c r="EU107" s="8"/>
      <c r="EV107" s="154"/>
      <c r="EW107" s="154"/>
      <c r="EX107" s="154"/>
      <c r="EY107" s="154"/>
      <c r="EZ107" s="8"/>
      <c r="FA107" s="8"/>
    </row>
    <row r="108" spans="1:157" ht="17.399999999999999">
      <c r="A108" s="162" t="s">
        <v>3</v>
      </c>
      <c r="B108" s="307">
        <f t="array" ref="B108">IF(TRIM(A108)="",0,
   IFERROR(
      IF(INDEX($99:$99,1,MATCH(TRIM(A108),TRIM($1:$1),0))="",
         0,
         INDEX($99:$99,1,MATCH(TRIM(A108),TRIM($1:$1),0))
      ),
   0)
)</f>
        <v>0</v>
      </c>
      <c r="C108" s="301"/>
      <c r="D108" s="301"/>
      <c r="E108" s="162" t="str">
        <f t="shared" si="360"/>
        <v>0</v>
      </c>
      <c r="F108" s="299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  <c r="AA108" s="158"/>
      <c r="AB108" s="158"/>
      <c r="AC108" s="164"/>
      <c r="AD108" s="164"/>
      <c r="AE108" s="164"/>
      <c r="AF108" s="164"/>
      <c r="AG108" s="164"/>
      <c r="AH108" s="158"/>
      <c r="AI108" s="157"/>
      <c r="AJ108" s="157"/>
      <c r="AK108" s="165"/>
      <c r="AR108" s="158"/>
      <c r="AS108" s="159"/>
      <c r="AT108" s="159"/>
      <c r="AU108" s="159"/>
      <c r="AV108" s="159"/>
      <c r="AW108" s="159"/>
      <c r="AX108" s="159"/>
      <c r="AY108" s="159"/>
      <c r="AZ108" s="159"/>
      <c r="BA108" s="158"/>
      <c r="BB108" s="154"/>
      <c r="BC108" s="159"/>
      <c r="BD108" s="159"/>
      <c r="BE108" s="159"/>
      <c r="BF108" s="159"/>
      <c r="BG108" s="159"/>
      <c r="BH108" s="159"/>
      <c r="BI108" s="159"/>
      <c r="BJ108" s="154"/>
      <c r="BK108" s="154"/>
      <c r="BL108" s="154"/>
      <c r="BM108" s="154"/>
      <c r="BN108" s="154"/>
      <c r="BO108" s="160"/>
      <c r="BP108" s="154"/>
      <c r="BQ108" s="154"/>
      <c r="BR108" s="154"/>
      <c r="BS108" s="154"/>
      <c r="BT108" s="154"/>
      <c r="BU108" s="154"/>
      <c r="BV108" s="154"/>
      <c r="BW108" s="154"/>
      <c r="BX108" s="8"/>
      <c r="BY108" s="298"/>
      <c r="BZ108" s="298"/>
      <c r="CA108" s="298"/>
      <c r="CB108" s="298"/>
      <c r="CC108" s="298"/>
      <c r="CD108" s="298"/>
      <c r="CE108" s="298"/>
      <c r="CF108" s="298"/>
      <c r="CG108" s="298"/>
      <c r="CH108" s="298"/>
      <c r="CI108" s="298"/>
      <c r="CJ108" s="298"/>
      <c r="CK108" s="298"/>
      <c r="CL108" s="298"/>
      <c r="CM108" s="298"/>
      <c r="CN108" s="298"/>
      <c r="CO108" s="298"/>
      <c r="CP108" s="298"/>
      <c r="CQ108" s="298"/>
      <c r="CR108" s="298"/>
      <c r="CS108" s="298"/>
      <c r="CT108" s="298"/>
      <c r="CU108" s="298"/>
      <c r="CV108" s="298"/>
      <c r="CW108" s="298"/>
      <c r="CX108" s="298"/>
      <c r="CY108" s="298"/>
      <c r="CZ108" s="298"/>
      <c r="DA108" s="298"/>
      <c r="DB108" s="298"/>
      <c r="DC108" s="298"/>
      <c r="DD108" s="298"/>
      <c r="DE108" s="298"/>
      <c r="DF108" s="298"/>
      <c r="DG108" s="298"/>
      <c r="DH108" s="298"/>
      <c r="DI108" s="298"/>
      <c r="DJ108" s="298"/>
      <c r="DK108" s="298"/>
      <c r="DL108" s="298"/>
      <c r="DM108" s="298"/>
      <c r="DN108" s="298"/>
      <c r="DO108" s="298"/>
      <c r="DP108" s="298"/>
      <c r="DQ108" s="298"/>
      <c r="DR108" s="298"/>
      <c r="DS108" s="298"/>
      <c r="DT108" s="298"/>
      <c r="DU108" s="298"/>
      <c r="DV108" s="298"/>
      <c r="DW108" s="298"/>
      <c r="DX108" s="298"/>
      <c r="DY108" s="298"/>
      <c r="DZ108" s="298"/>
      <c r="EA108" s="8"/>
      <c r="EB108" s="298"/>
      <c r="EC108" s="298"/>
      <c r="ED108" s="298"/>
      <c r="EE108" s="298"/>
      <c r="EF108" s="8"/>
      <c r="EG108" s="298"/>
      <c r="EH108" s="298"/>
      <c r="EI108" s="298"/>
      <c r="EJ108" s="298"/>
      <c r="EK108" s="8"/>
      <c r="EL108" s="298"/>
      <c r="EM108" s="298"/>
      <c r="EN108" s="298"/>
      <c r="EO108" s="298"/>
      <c r="EP108" s="8"/>
      <c r="EQ108" s="298"/>
      <c r="ER108" s="298"/>
      <c r="ES108" s="298"/>
      <c r="ET108" s="298"/>
      <c r="EU108" s="8"/>
      <c r="EV108" s="154"/>
      <c r="EW108" s="154"/>
      <c r="EX108" s="154"/>
      <c r="EY108" s="154"/>
      <c r="EZ108" s="8"/>
      <c r="FA108" s="8"/>
    </row>
    <row r="109" spans="1:157" ht="17.399999999999999">
      <c r="A109" s="161" t="s">
        <v>70</v>
      </c>
      <c r="B109" s="308">
        <f t="array" ref="B109">IF(TRIM(A109)="",0,
   IFERROR(
      IF(INDEX($99:$99,1,MATCH(TRIM(A109),TRIM($1:$1),0))="",
         0,
         INDEX($99:$99,1,MATCH(TRIM(A109),TRIM($1:$1),0))
      ),
   0)
)</f>
        <v>0</v>
      </c>
      <c r="C109" s="301"/>
      <c r="D109" s="301"/>
      <c r="E109" s="161" t="str">
        <f t="shared" si="360"/>
        <v>0</v>
      </c>
      <c r="F109" s="299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  <c r="AA109" s="158"/>
      <c r="AB109" s="158"/>
      <c r="AC109" s="164"/>
      <c r="AD109" s="164"/>
      <c r="AE109" s="164"/>
      <c r="AF109" s="164"/>
      <c r="AG109" s="164"/>
      <c r="AH109" s="158"/>
      <c r="AI109" s="157"/>
      <c r="AJ109" s="157"/>
      <c r="AK109" s="165"/>
      <c r="AR109" s="158"/>
      <c r="AS109" s="159"/>
      <c r="AT109" s="159"/>
      <c r="AU109" s="159"/>
      <c r="AV109" s="159"/>
      <c r="AW109" s="159"/>
      <c r="AX109" s="159"/>
      <c r="AY109" s="159"/>
      <c r="AZ109" s="159"/>
      <c r="BA109" s="158"/>
      <c r="BB109" s="154"/>
      <c r="BC109" s="159"/>
      <c r="BD109" s="159"/>
      <c r="BE109" s="159"/>
      <c r="BF109" s="159"/>
      <c r="BG109" s="159"/>
      <c r="BH109" s="159"/>
      <c r="BI109" s="159"/>
      <c r="BJ109" s="154"/>
      <c r="BK109" s="154"/>
      <c r="BL109" s="154"/>
      <c r="BM109" s="154"/>
      <c r="BN109" s="154"/>
      <c r="BO109" s="160"/>
      <c r="BP109" s="154"/>
      <c r="BQ109" s="154"/>
      <c r="BR109" s="154"/>
      <c r="BS109" s="154"/>
      <c r="BT109" s="154"/>
      <c r="BU109" s="154"/>
      <c r="BV109" s="154"/>
      <c r="BW109" s="154"/>
      <c r="BX109" s="8"/>
      <c r="BY109" s="298"/>
      <c r="BZ109" s="298"/>
      <c r="CA109" s="298"/>
      <c r="CB109" s="298"/>
      <c r="CC109" s="298"/>
      <c r="CD109" s="298"/>
      <c r="CE109" s="298"/>
      <c r="CF109" s="298"/>
      <c r="CG109" s="298"/>
      <c r="CH109" s="298"/>
      <c r="CI109" s="298"/>
      <c r="CJ109" s="298"/>
      <c r="CK109" s="298"/>
      <c r="CL109" s="298"/>
      <c r="CM109" s="298"/>
      <c r="CN109" s="298"/>
      <c r="CO109" s="298"/>
      <c r="CP109" s="298"/>
      <c r="CQ109" s="298"/>
      <c r="CR109" s="298"/>
      <c r="CS109" s="298"/>
      <c r="CT109" s="298"/>
      <c r="CU109" s="298"/>
      <c r="CV109" s="298"/>
      <c r="CW109" s="298"/>
      <c r="CX109" s="298"/>
      <c r="CY109" s="298"/>
      <c r="CZ109" s="298"/>
      <c r="DA109" s="298"/>
      <c r="DB109" s="298"/>
      <c r="DC109" s="298"/>
      <c r="DD109" s="298"/>
      <c r="DE109" s="298"/>
      <c r="DF109" s="298"/>
      <c r="DG109" s="298"/>
      <c r="DH109" s="298"/>
      <c r="DI109" s="298"/>
      <c r="DJ109" s="298"/>
      <c r="DK109" s="298"/>
      <c r="DL109" s="298"/>
      <c r="DM109" s="298"/>
      <c r="DN109" s="298"/>
      <c r="DO109" s="298"/>
      <c r="DP109" s="298"/>
      <c r="DQ109" s="298"/>
      <c r="DR109" s="298"/>
      <c r="DS109" s="298"/>
      <c r="DT109" s="298"/>
      <c r="DU109" s="298"/>
      <c r="DV109" s="298"/>
      <c r="DW109" s="298"/>
      <c r="DX109" s="298"/>
      <c r="DY109" s="298"/>
      <c r="DZ109" s="298"/>
      <c r="EA109" s="8"/>
      <c r="EB109" s="298"/>
      <c r="EC109" s="298"/>
      <c r="ED109" s="298"/>
      <c r="EE109" s="298"/>
      <c r="EF109" s="8"/>
      <c r="EG109" s="298"/>
      <c r="EH109" s="298"/>
      <c r="EI109" s="298"/>
      <c r="EJ109" s="298"/>
      <c r="EK109" s="8"/>
      <c r="EL109" s="298"/>
      <c r="EM109" s="298"/>
      <c r="EN109" s="298"/>
      <c r="EO109" s="298"/>
      <c r="EP109" s="8"/>
      <c r="EQ109" s="298"/>
      <c r="ER109" s="298"/>
      <c r="ES109" s="298"/>
      <c r="ET109" s="298"/>
      <c r="EU109" s="8"/>
      <c r="EV109" s="154"/>
      <c r="EW109" s="154"/>
      <c r="EX109" s="154"/>
      <c r="EY109" s="154"/>
      <c r="EZ109" s="8"/>
      <c r="FA109" s="8"/>
    </row>
    <row r="110" spans="1:157" ht="17.399999999999999">
      <c r="A110" s="162" t="s">
        <v>0</v>
      </c>
      <c r="B110" s="307">
        <f t="array" ref="B110">IF(TRIM(A110)="",0,
   IFERROR(
      IF(INDEX($99:$99,1,MATCH(TRIM(A110),TRIM($1:$1),0))="",
         0,
         INDEX($99:$99,1,MATCH(TRIM(A110),TRIM($1:$1),0))
      ),
   0)
)</f>
        <v>0</v>
      </c>
      <c r="C110" s="301"/>
      <c r="D110" s="301"/>
      <c r="E110" s="162" t="str">
        <f t="shared" si="360"/>
        <v>0</v>
      </c>
      <c r="F110" s="299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  <c r="AA110" s="158"/>
      <c r="AB110" s="158"/>
      <c r="AC110" s="164"/>
      <c r="AD110" s="164"/>
      <c r="AE110" s="164"/>
      <c r="AF110" s="164"/>
      <c r="AG110" s="164"/>
      <c r="AH110" s="158"/>
      <c r="AI110" s="157"/>
      <c r="AJ110" s="157"/>
      <c r="AK110" s="165"/>
      <c r="AR110" s="158"/>
      <c r="AS110" s="159"/>
      <c r="AT110" s="159"/>
      <c r="AU110" s="159"/>
      <c r="AV110" s="159"/>
      <c r="AW110" s="159"/>
      <c r="AX110" s="159"/>
      <c r="AY110" s="159"/>
      <c r="AZ110" s="159"/>
      <c r="BA110" s="158"/>
      <c r="BB110" s="154"/>
      <c r="BC110" s="159"/>
      <c r="BD110" s="159"/>
      <c r="BE110" s="159"/>
      <c r="BF110" s="159"/>
      <c r="BG110" s="159"/>
      <c r="BH110" s="159"/>
      <c r="BI110" s="159"/>
      <c r="BJ110" s="154"/>
      <c r="BK110" s="154"/>
      <c r="BL110" s="154"/>
      <c r="BM110" s="154"/>
      <c r="BN110" s="154"/>
      <c r="BO110" s="154"/>
      <c r="BP110" s="154"/>
      <c r="BQ110" s="154"/>
      <c r="BR110" s="154"/>
      <c r="BS110" s="154"/>
      <c r="BT110" s="154"/>
      <c r="BU110" s="154"/>
      <c r="BV110" s="154"/>
      <c r="BW110" s="154"/>
      <c r="BX110" s="8"/>
      <c r="BY110" s="298"/>
      <c r="BZ110" s="298"/>
      <c r="CA110" s="298"/>
      <c r="CB110" s="298"/>
      <c r="CC110" s="298"/>
      <c r="CD110" s="298"/>
      <c r="CE110" s="298"/>
      <c r="CF110" s="298"/>
      <c r="CG110" s="298"/>
      <c r="CH110" s="298"/>
      <c r="CI110" s="298"/>
      <c r="CJ110" s="298"/>
      <c r="CK110" s="298"/>
      <c r="CL110" s="298"/>
      <c r="CM110" s="298"/>
      <c r="CN110" s="298"/>
      <c r="CO110" s="298"/>
      <c r="CP110" s="298"/>
      <c r="CQ110" s="298"/>
      <c r="CR110" s="298"/>
      <c r="CS110" s="298"/>
      <c r="CT110" s="298"/>
      <c r="CU110" s="298"/>
      <c r="CV110" s="298"/>
      <c r="CW110" s="298"/>
      <c r="CX110" s="298"/>
      <c r="CY110" s="298"/>
      <c r="CZ110" s="298"/>
      <c r="DA110" s="298"/>
      <c r="DB110" s="298"/>
      <c r="DC110" s="298"/>
      <c r="DD110" s="298"/>
      <c r="DE110" s="298"/>
      <c r="DF110" s="298"/>
      <c r="DG110" s="298"/>
      <c r="DH110" s="298"/>
      <c r="DI110" s="298"/>
      <c r="DJ110" s="298"/>
      <c r="DK110" s="298"/>
      <c r="DL110" s="298"/>
      <c r="DM110" s="298"/>
      <c r="DN110" s="298"/>
      <c r="DO110" s="298"/>
      <c r="DP110" s="298"/>
      <c r="DQ110" s="298"/>
      <c r="DR110" s="298"/>
      <c r="DS110" s="298"/>
      <c r="DT110" s="298"/>
      <c r="DU110" s="298"/>
      <c r="DV110" s="298"/>
      <c r="DW110" s="298"/>
      <c r="DX110" s="298"/>
      <c r="DY110" s="298"/>
      <c r="DZ110" s="298"/>
      <c r="EA110" s="8"/>
      <c r="EB110" s="298"/>
      <c r="EC110" s="298"/>
      <c r="ED110" s="298"/>
      <c r="EE110" s="298"/>
      <c r="EF110" s="8"/>
      <c r="EG110" s="298"/>
      <c r="EH110" s="298"/>
      <c r="EI110" s="298"/>
      <c r="EJ110" s="298"/>
      <c r="EK110" s="8"/>
      <c r="EL110" s="298"/>
      <c r="EM110" s="298"/>
      <c r="EN110" s="298"/>
      <c r="EO110" s="298"/>
      <c r="EP110" s="8"/>
      <c r="EQ110" s="298"/>
      <c r="ER110" s="298"/>
      <c r="ES110" s="298"/>
      <c r="ET110" s="298"/>
      <c r="EU110" s="8"/>
      <c r="EV110" s="154"/>
      <c r="EW110" s="154"/>
      <c r="EX110" s="154"/>
      <c r="EY110" s="154"/>
      <c r="EZ110" s="8"/>
      <c r="FA110" s="8"/>
    </row>
    <row r="111" spans="1:157" ht="17.399999999999999">
      <c r="A111" s="161" t="s">
        <v>13</v>
      </c>
      <c r="B111" s="308">
        <f t="array" ref="B111">IF(TRIM(A111)="",0,
   IFERROR(
      IF(INDEX($99:$99,1,MATCH(TRIM(A111),TRIM($1:$1),0))="",
         0,
         INDEX($99:$99,1,MATCH(TRIM(A111),TRIM($1:$1),0))
      ),
   0)
)</f>
        <v>0</v>
      </c>
      <c r="C111" s="301"/>
      <c r="D111" s="301"/>
      <c r="E111" s="161" t="str">
        <f t="shared" si="360"/>
        <v>0</v>
      </c>
      <c r="F111" s="299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  <c r="AA111" s="158"/>
      <c r="AB111" s="158"/>
      <c r="AC111" s="164"/>
      <c r="AD111" s="164"/>
      <c r="AE111" s="164"/>
      <c r="AF111" s="164"/>
      <c r="AG111" s="164"/>
      <c r="AH111" s="158"/>
      <c r="AI111" s="157"/>
      <c r="AJ111" s="157"/>
      <c r="AK111" s="165"/>
      <c r="AR111" s="158"/>
      <c r="AS111" s="159"/>
      <c r="AT111" s="159"/>
      <c r="AU111" s="159"/>
      <c r="AV111" s="159"/>
      <c r="AW111" s="159"/>
      <c r="AX111" s="159"/>
      <c r="AY111" s="159"/>
      <c r="AZ111" s="159"/>
      <c r="BA111" s="158"/>
      <c r="BB111" s="154"/>
      <c r="BC111" s="159"/>
      <c r="BD111" s="159"/>
      <c r="BE111" s="159"/>
      <c r="BF111" s="159"/>
      <c r="BG111" s="159"/>
      <c r="BH111" s="159"/>
      <c r="BI111" s="159"/>
      <c r="BJ111" s="154"/>
      <c r="BK111" s="154"/>
      <c r="BL111" s="154"/>
      <c r="BM111" s="154"/>
      <c r="BN111" s="154"/>
      <c r="BO111" s="154"/>
      <c r="BP111" s="154"/>
      <c r="BQ111" s="154"/>
      <c r="BR111" s="154"/>
      <c r="BS111" s="154"/>
      <c r="BT111" s="154"/>
      <c r="BU111" s="154"/>
      <c r="BV111" s="154"/>
      <c r="BW111" s="154"/>
      <c r="BX111" s="8"/>
      <c r="BY111" s="298"/>
      <c r="BZ111" s="298"/>
      <c r="CA111" s="298"/>
      <c r="CB111" s="298"/>
      <c r="CC111" s="298"/>
      <c r="CD111" s="298"/>
      <c r="CE111" s="298"/>
      <c r="CF111" s="298"/>
      <c r="CG111" s="298"/>
      <c r="CH111" s="298"/>
      <c r="CI111" s="298"/>
      <c r="CJ111" s="298"/>
      <c r="CK111" s="298"/>
      <c r="CL111" s="298"/>
      <c r="CM111" s="298"/>
      <c r="CN111" s="298"/>
      <c r="CO111" s="298"/>
      <c r="CP111" s="298"/>
      <c r="CQ111" s="298"/>
      <c r="CR111" s="298"/>
      <c r="CS111" s="298"/>
      <c r="CT111" s="298"/>
      <c r="CU111" s="298"/>
      <c r="CV111" s="298"/>
      <c r="CW111" s="298"/>
      <c r="CX111" s="298"/>
      <c r="CY111" s="298"/>
      <c r="CZ111" s="298"/>
      <c r="DA111" s="298"/>
      <c r="DB111" s="298"/>
      <c r="DC111" s="298"/>
      <c r="DD111" s="298"/>
      <c r="DE111" s="298"/>
      <c r="DF111" s="298"/>
      <c r="DG111" s="298"/>
      <c r="DH111" s="298"/>
      <c r="DI111" s="298"/>
      <c r="DJ111" s="298"/>
      <c r="DK111" s="298"/>
      <c r="DL111" s="298"/>
      <c r="DM111" s="298"/>
      <c r="DN111" s="298"/>
      <c r="DO111" s="298"/>
      <c r="DP111" s="298"/>
      <c r="DQ111" s="298"/>
      <c r="DR111" s="298"/>
      <c r="DS111" s="298"/>
      <c r="DT111" s="298"/>
      <c r="DU111" s="298"/>
      <c r="DV111" s="298"/>
      <c r="DW111" s="298"/>
      <c r="DX111" s="298"/>
      <c r="DY111" s="298"/>
      <c r="DZ111" s="298"/>
      <c r="EA111" s="8"/>
      <c r="EB111" s="298"/>
      <c r="EC111" s="298"/>
      <c r="ED111" s="298"/>
      <c r="EE111" s="298"/>
      <c r="EF111" s="8"/>
      <c r="EG111" s="298"/>
      <c r="EH111" s="298"/>
      <c r="EI111" s="298"/>
      <c r="EJ111" s="298"/>
      <c r="EK111" s="8"/>
      <c r="EL111" s="298"/>
      <c r="EM111" s="298"/>
      <c r="EN111" s="298"/>
      <c r="EO111" s="298"/>
      <c r="EP111" s="8"/>
      <c r="EQ111" s="298"/>
      <c r="ER111" s="298"/>
      <c r="ES111" s="298"/>
      <c r="ET111" s="298"/>
      <c r="EU111" s="8"/>
      <c r="EV111" s="154"/>
      <c r="EW111" s="154"/>
      <c r="EX111" s="154"/>
      <c r="EY111" s="154"/>
      <c r="EZ111" s="8"/>
      <c r="FA111" s="8"/>
    </row>
    <row r="112" spans="1:157" ht="17.399999999999999">
      <c r="A112" s="162" t="s">
        <v>11</v>
      </c>
      <c r="B112" s="307">
        <f t="array" ref="B112">IF(TRIM(A112)="",0,
   IFERROR(
      IF(INDEX($99:$99,1,MATCH(TRIM(A112),TRIM($1:$1),0))="",
         0,
         INDEX($99:$99,1,MATCH(TRIM(A112),TRIM($1:$1),0))
      ),
   0)
)</f>
        <v>0</v>
      </c>
      <c r="C112" s="301"/>
      <c r="D112" s="301"/>
      <c r="E112" s="162" t="str">
        <f t="shared" si="360"/>
        <v>0</v>
      </c>
      <c r="F112" s="299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  <c r="AA112" s="158"/>
      <c r="AB112" s="158"/>
      <c r="AC112" s="164"/>
      <c r="AD112" s="164"/>
      <c r="AE112" s="164"/>
      <c r="AF112" s="164"/>
      <c r="AG112" s="164"/>
      <c r="AH112" s="158"/>
      <c r="AI112" s="157"/>
      <c r="AJ112" s="157"/>
      <c r="AK112" s="165"/>
      <c r="AR112" s="158"/>
      <c r="AS112" s="159"/>
      <c r="AT112" s="159"/>
      <c r="AU112" s="159"/>
      <c r="AV112" s="159"/>
      <c r="AW112" s="159"/>
      <c r="AX112" s="159"/>
      <c r="AY112" s="159"/>
      <c r="AZ112" s="159"/>
      <c r="BA112" s="158"/>
      <c r="BB112" s="154"/>
      <c r="BC112" s="159"/>
      <c r="BD112" s="159"/>
      <c r="BE112" s="159"/>
      <c r="BF112" s="159"/>
      <c r="BG112" s="159"/>
      <c r="BH112" s="159"/>
      <c r="BI112" s="159"/>
      <c r="BJ112" s="154"/>
      <c r="BK112" s="154"/>
      <c r="BL112" s="154"/>
      <c r="BM112" s="154"/>
      <c r="BN112" s="154"/>
      <c r="BO112" s="154"/>
      <c r="BP112" s="154"/>
      <c r="BQ112" s="154"/>
      <c r="BR112" s="154"/>
      <c r="BS112" s="154"/>
      <c r="BT112" s="154"/>
      <c r="BU112" s="154"/>
      <c r="BV112" s="154"/>
      <c r="BW112" s="154"/>
      <c r="BX112" s="8"/>
      <c r="BY112" s="298"/>
      <c r="BZ112" s="298"/>
      <c r="CA112" s="298"/>
      <c r="CB112" s="298"/>
      <c r="CC112" s="298"/>
      <c r="CD112" s="298"/>
      <c r="CE112" s="298"/>
      <c r="CF112" s="298"/>
      <c r="CG112" s="298"/>
      <c r="CH112" s="298"/>
      <c r="CI112" s="298"/>
      <c r="CJ112" s="298"/>
      <c r="CK112" s="298"/>
      <c r="CL112" s="298"/>
      <c r="CM112" s="298"/>
      <c r="CN112" s="298"/>
      <c r="CO112" s="298"/>
      <c r="CP112" s="298"/>
      <c r="CQ112" s="298"/>
      <c r="CR112" s="298"/>
      <c r="CS112" s="298"/>
      <c r="CT112" s="298"/>
      <c r="CU112" s="298"/>
      <c r="CV112" s="298"/>
      <c r="CW112" s="298"/>
      <c r="CX112" s="298"/>
      <c r="CY112" s="298"/>
      <c r="CZ112" s="298"/>
      <c r="DA112" s="298"/>
      <c r="DB112" s="298"/>
      <c r="DC112" s="298"/>
      <c r="DD112" s="298"/>
      <c r="DE112" s="298"/>
      <c r="DF112" s="298"/>
      <c r="DG112" s="298"/>
      <c r="DH112" s="298"/>
      <c r="DI112" s="298"/>
      <c r="DJ112" s="298"/>
      <c r="DK112" s="298"/>
      <c r="DL112" s="298"/>
      <c r="DM112" s="298"/>
      <c r="DN112" s="298"/>
      <c r="DO112" s="298"/>
      <c r="DP112" s="298"/>
      <c r="DQ112" s="298"/>
      <c r="DR112" s="298"/>
      <c r="DS112" s="298"/>
      <c r="DT112" s="298"/>
      <c r="DU112" s="298"/>
      <c r="DV112" s="298"/>
      <c r="DW112" s="298"/>
      <c r="DX112" s="298"/>
      <c r="DY112" s="298"/>
      <c r="DZ112" s="298"/>
      <c r="EA112" s="8"/>
      <c r="EB112" s="298"/>
      <c r="EC112" s="298"/>
      <c r="ED112" s="298"/>
      <c r="EE112" s="298"/>
      <c r="EF112" s="8"/>
      <c r="EG112" s="298"/>
      <c r="EH112" s="298"/>
      <c r="EI112" s="298"/>
      <c r="EJ112" s="298"/>
      <c r="EK112" s="8"/>
      <c r="EL112" s="298"/>
      <c r="EM112" s="298"/>
      <c r="EN112" s="298"/>
      <c r="EO112" s="298"/>
      <c r="EP112" s="8"/>
      <c r="EQ112" s="298"/>
      <c r="ER112" s="298"/>
      <c r="ES112" s="298"/>
      <c r="ET112" s="298"/>
      <c r="EU112" s="8"/>
      <c r="EV112" s="154"/>
      <c r="EW112" s="154"/>
      <c r="EX112" s="154"/>
      <c r="EY112" s="154"/>
      <c r="EZ112" s="8"/>
      <c r="FA112" s="8"/>
    </row>
    <row r="113" spans="1:157" ht="17.399999999999999">
      <c r="A113" s="161" t="s">
        <v>2</v>
      </c>
      <c r="B113" s="308">
        <f t="array" ref="B113">IF(TRIM(A113)="",0,
   IFERROR(
      IF(INDEX($99:$99,1,MATCH(TRIM(A113),TRIM($1:$1),0))="",
         0,
         INDEX($99:$99,1,MATCH(TRIM(A113),TRIM($1:$1),0))
      ),
   0)
)</f>
        <v>0</v>
      </c>
      <c r="C113" s="301"/>
      <c r="D113" s="301"/>
      <c r="E113" s="161" t="str">
        <f t="shared" si="360"/>
        <v>0</v>
      </c>
      <c r="F113" s="299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  <c r="AA113" s="158"/>
      <c r="AB113" s="158"/>
      <c r="AC113" s="164"/>
      <c r="AD113" s="164"/>
      <c r="AE113" s="164"/>
      <c r="AF113" s="164"/>
      <c r="AG113" s="164"/>
      <c r="AH113" s="158"/>
      <c r="AI113" s="157"/>
      <c r="AJ113" s="157"/>
      <c r="AK113" s="159"/>
      <c r="AR113" s="158"/>
      <c r="AS113" s="159"/>
      <c r="AT113" s="159"/>
      <c r="AU113" s="159"/>
      <c r="AV113" s="159"/>
      <c r="AW113" s="159"/>
      <c r="AX113" s="159"/>
      <c r="AY113" s="159"/>
      <c r="AZ113" s="159"/>
      <c r="BA113" s="158"/>
      <c r="BB113" s="154"/>
      <c r="BC113" s="159"/>
      <c r="BD113" s="159"/>
      <c r="BE113" s="159"/>
      <c r="BF113" s="159"/>
      <c r="BG113" s="159"/>
      <c r="BH113" s="159"/>
      <c r="BI113" s="159"/>
      <c r="BJ113" s="154"/>
      <c r="BK113" s="154"/>
      <c r="BL113" s="154"/>
      <c r="BM113" s="154"/>
      <c r="BN113" s="154"/>
      <c r="BO113" s="154"/>
      <c r="BP113" s="154"/>
      <c r="BQ113" s="154"/>
      <c r="BR113" s="154"/>
      <c r="BS113" s="154"/>
      <c r="BT113" s="154"/>
      <c r="BU113" s="154"/>
      <c r="BV113" s="154"/>
      <c r="BW113" s="154"/>
      <c r="BX113" s="8"/>
      <c r="BY113" s="298"/>
      <c r="BZ113" s="298"/>
      <c r="CA113" s="298"/>
      <c r="CB113" s="298"/>
      <c r="CC113" s="298"/>
      <c r="CD113" s="298"/>
      <c r="CE113" s="298"/>
      <c r="CF113" s="298"/>
      <c r="CG113" s="298"/>
      <c r="CH113" s="298"/>
      <c r="CI113" s="298"/>
      <c r="CJ113" s="298"/>
      <c r="CK113" s="298"/>
      <c r="CL113" s="298"/>
      <c r="CM113" s="298"/>
      <c r="CN113" s="298"/>
      <c r="CO113" s="298"/>
      <c r="CP113" s="298"/>
      <c r="CQ113" s="298"/>
      <c r="CR113" s="298"/>
      <c r="CS113" s="298"/>
      <c r="CT113" s="298"/>
      <c r="CU113" s="298"/>
      <c r="CV113" s="298"/>
      <c r="CW113" s="298"/>
      <c r="CX113" s="298"/>
      <c r="CY113" s="298"/>
      <c r="CZ113" s="298"/>
      <c r="DA113" s="298"/>
      <c r="DB113" s="298"/>
      <c r="DC113" s="298"/>
      <c r="DD113" s="298"/>
      <c r="DE113" s="298"/>
      <c r="DF113" s="298"/>
      <c r="DG113" s="298"/>
      <c r="DH113" s="298"/>
      <c r="DI113" s="298"/>
      <c r="DJ113" s="298"/>
      <c r="DK113" s="298"/>
      <c r="DL113" s="298"/>
      <c r="DM113" s="298"/>
      <c r="DN113" s="298"/>
      <c r="DO113" s="298"/>
      <c r="DP113" s="298"/>
      <c r="DQ113" s="298"/>
      <c r="DR113" s="298"/>
      <c r="DS113" s="298"/>
      <c r="DT113" s="298"/>
      <c r="DU113" s="298"/>
      <c r="DV113" s="298"/>
      <c r="DW113" s="298"/>
      <c r="DX113" s="298"/>
      <c r="DY113" s="298"/>
      <c r="DZ113" s="298"/>
      <c r="EA113" s="8"/>
      <c r="EB113" s="298"/>
      <c r="EC113" s="298"/>
      <c r="ED113" s="298"/>
      <c r="EE113" s="298"/>
      <c r="EF113" s="8"/>
      <c r="EG113" s="298"/>
      <c r="EH113" s="298"/>
      <c r="EI113" s="298"/>
      <c r="EJ113" s="298"/>
      <c r="EK113" s="8"/>
      <c r="EL113" s="298"/>
      <c r="EM113" s="298"/>
      <c r="EN113" s="298"/>
      <c r="EO113" s="298"/>
      <c r="EP113" s="8"/>
      <c r="EQ113" s="298"/>
      <c r="ER113" s="298"/>
      <c r="ES113" s="298"/>
      <c r="ET113" s="298"/>
      <c r="EU113" s="8"/>
      <c r="EV113" s="154"/>
      <c r="EW113" s="154"/>
      <c r="EX113" s="154"/>
      <c r="EY113" s="154"/>
      <c r="EZ113" s="8"/>
      <c r="FA113" s="8"/>
    </row>
    <row r="114" spans="1:157" ht="17.399999999999999">
      <c r="A114" s="162" t="s">
        <v>12</v>
      </c>
      <c r="B114" s="307">
        <f t="array" ref="B114">IF(TRIM(A114)="",0,
   IFERROR(
      IF(INDEX($99:$99,1,MATCH(TRIM(A114),TRIM($1:$1),0))="",
         0,
         INDEX($99:$99,1,MATCH(TRIM(A114),TRIM($1:$1),0))
      ),
   0)
)</f>
        <v>0</v>
      </c>
      <c r="C114" s="301"/>
      <c r="D114" s="301"/>
      <c r="E114" s="162" t="str">
        <f t="shared" si="360"/>
        <v>0</v>
      </c>
      <c r="F114" s="299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  <c r="AA114" s="158"/>
      <c r="AB114" s="158"/>
      <c r="AC114" s="164"/>
      <c r="AD114" s="164"/>
      <c r="AE114" s="164"/>
      <c r="AF114" s="164"/>
      <c r="AG114" s="164"/>
      <c r="AH114" s="158"/>
      <c r="AI114" s="157"/>
      <c r="AJ114" s="157"/>
      <c r="AK114" s="159"/>
      <c r="AR114" s="158"/>
      <c r="AS114" s="159"/>
      <c r="AT114" s="159"/>
      <c r="AU114" s="159"/>
      <c r="AV114" s="159"/>
      <c r="AW114" s="159"/>
      <c r="AX114" s="159"/>
      <c r="AY114" s="159"/>
      <c r="AZ114" s="159"/>
      <c r="BA114" s="158"/>
      <c r="BB114" s="154"/>
      <c r="BC114" s="159"/>
      <c r="BD114" s="159"/>
      <c r="BE114" s="159"/>
      <c r="BF114" s="159"/>
      <c r="BG114" s="159"/>
      <c r="BH114" s="159"/>
      <c r="BI114" s="159"/>
      <c r="BJ114" s="154"/>
      <c r="BK114" s="154"/>
      <c r="BL114" s="154"/>
      <c r="BM114" s="154"/>
      <c r="BN114" s="154"/>
      <c r="BO114" s="154"/>
      <c r="BP114" s="154"/>
      <c r="BQ114" s="154"/>
      <c r="BR114" s="154"/>
      <c r="BS114" s="154"/>
      <c r="BT114" s="154"/>
      <c r="BU114" s="154"/>
      <c r="BV114" s="154"/>
      <c r="BW114" s="154"/>
      <c r="BX114" s="8"/>
      <c r="BY114" s="298"/>
      <c r="BZ114" s="298"/>
      <c r="CA114" s="298"/>
      <c r="CB114" s="298"/>
      <c r="CC114" s="298"/>
      <c r="CD114" s="298"/>
      <c r="CE114" s="298"/>
      <c r="CF114" s="298"/>
      <c r="CG114" s="298"/>
      <c r="CH114" s="298"/>
      <c r="CI114" s="298"/>
      <c r="CJ114" s="298"/>
      <c r="CK114" s="298"/>
      <c r="CL114" s="298"/>
      <c r="CM114" s="298"/>
      <c r="CN114" s="298"/>
      <c r="CO114" s="298"/>
      <c r="CP114" s="298"/>
      <c r="CQ114" s="298"/>
      <c r="CR114" s="298"/>
      <c r="CS114" s="298"/>
      <c r="CT114" s="298"/>
      <c r="CU114" s="298"/>
      <c r="CV114" s="298"/>
      <c r="CW114" s="298"/>
      <c r="CX114" s="298"/>
      <c r="CY114" s="298"/>
      <c r="CZ114" s="298"/>
      <c r="DA114" s="298"/>
      <c r="DB114" s="298"/>
      <c r="DC114" s="298"/>
      <c r="DD114" s="298"/>
      <c r="DE114" s="298"/>
      <c r="DF114" s="298"/>
      <c r="DG114" s="298"/>
      <c r="DH114" s="298"/>
      <c r="DI114" s="298"/>
      <c r="DJ114" s="298"/>
      <c r="DK114" s="298"/>
      <c r="DL114" s="298"/>
      <c r="DM114" s="298"/>
      <c r="DN114" s="298"/>
      <c r="DO114" s="298"/>
      <c r="DP114" s="298"/>
      <c r="DQ114" s="298"/>
      <c r="DR114" s="298"/>
      <c r="DS114" s="298"/>
      <c r="DT114" s="298"/>
      <c r="DU114" s="298"/>
      <c r="DV114" s="298"/>
      <c r="DW114" s="298"/>
      <c r="DX114" s="298"/>
      <c r="DY114" s="298"/>
      <c r="DZ114" s="298"/>
      <c r="EA114" s="8"/>
      <c r="EB114" s="298"/>
      <c r="EC114" s="298"/>
      <c r="ED114" s="298"/>
      <c r="EE114" s="298"/>
      <c r="EF114" s="8"/>
      <c r="EG114" s="298"/>
      <c r="EH114" s="298"/>
      <c r="EI114" s="298"/>
      <c r="EJ114" s="298"/>
      <c r="EK114" s="8"/>
      <c r="EL114" s="298"/>
      <c r="EM114" s="298"/>
      <c r="EN114" s="298"/>
      <c r="EO114" s="298"/>
      <c r="EP114" s="8"/>
      <c r="EQ114" s="298"/>
      <c r="ER114" s="298"/>
      <c r="ES114" s="298"/>
      <c r="ET114" s="298"/>
      <c r="EU114" s="8"/>
      <c r="EV114" s="154"/>
      <c r="EW114" s="154"/>
      <c r="EX114" s="154"/>
      <c r="EY114" s="154"/>
      <c r="EZ114" s="8"/>
      <c r="FA114" s="8"/>
    </row>
    <row r="115" spans="1:157" ht="17.399999999999999">
      <c r="A115" s="161" t="s">
        <v>73</v>
      </c>
      <c r="B115" s="308">
        <f t="array" ref="B115">IF(TRIM(A115)="",0,
   IFERROR(
      IF(INDEX($99:$99,1,MATCH(TRIM(A115),TRIM($1:$1),0))="",
         0,
         INDEX($99:$99,1,MATCH(TRIM(A115),TRIM($1:$1),0))
      ),
   0)
)</f>
        <v>0</v>
      </c>
      <c r="C115" s="301"/>
      <c r="D115" s="301"/>
      <c r="E115" s="161" t="str">
        <f t="shared" si="360"/>
        <v>0</v>
      </c>
      <c r="F115" s="299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64"/>
      <c r="AD115" s="164"/>
      <c r="AE115" s="164"/>
      <c r="AF115" s="164"/>
      <c r="AG115" s="164"/>
      <c r="AH115" s="157"/>
      <c r="AI115" s="157"/>
      <c r="AJ115" s="157"/>
      <c r="AK115" s="159"/>
      <c r="AL115" s="159"/>
      <c r="AM115" s="159"/>
      <c r="AN115" s="158"/>
      <c r="AO115" s="158"/>
      <c r="AP115" s="158"/>
      <c r="AQ115" s="158"/>
      <c r="AR115" s="158"/>
      <c r="AS115" s="159"/>
      <c r="AT115" s="159"/>
      <c r="AU115" s="159"/>
      <c r="AV115" s="159"/>
      <c r="AW115" s="159"/>
      <c r="AX115" s="159"/>
      <c r="AY115" s="159"/>
      <c r="AZ115" s="159"/>
      <c r="BA115" s="158"/>
      <c r="BB115" s="154"/>
      <c r="BC115" s="159"/>
      <c r="BD115" s="159"/>
      <c r="BE115" s="159"/>
      <c r="BF115" s="159"/>
      <c r="BG115" s="159"/>
      <c r="BH115" s="159"/>
      <c r="BI115" s="159"/>
      <c r="BJ115" s="154"/>
      <c r="BK115" s="154"/>
      <c r="BL115" s="154"/>
      <c r="BM115" s="154"/>
      <c r="BN115" s="154"/>
      <c r="BO115" s="154"/>
      <c r="BP115" s="154"/>
      <c r="BQ115" s="154"/>
      <c r="BR115" s="154"/>
      <c r="BS115" s="154"/>
      <c r="BT115" s="154"/>
      <c r="BU115" s="154"/>
      <c r="BV115" s="154"/>
      <c r="BW115" s="154"/>
      <c r="BX115" s="8"/>
      <c r="BY115" s="298"/>
      <c r="BZ115" s="298"/>
      <c r="CA115" s="298"/>
      <c r="CB115" s="298"/>
      <c r="CC115" s="298"/>
      <c r="CD115" s="298"/>
      <c r="CE115" s="298"/>
      <c r="CF115" s="298"/>
      <c r="CG115" s="298"/>
      <c r="CH115" s="298"/>
      <c r="CI115" s="298"/>
      <c r="CJ115" s="298"/>
      <c r="CK115" s="298"/>
      <c r="CL115" s="298"/>
      <c r="CM115" s="298"/>
      <c r="CN115" s="298"/>
      <c r="CO115" s="298"/>
      <c r="CP115" s="298"/>
      <c r="CQ115" s="298"/>
      <c r="CR115" s="298"/>
      <c r="CS115" s="298"/>
      <c r="CT115" s="298"/>
      <c r="CU115" s="298"/>
      <c r="CV115" s="298"/>
      <c r="CW115" s="298"/>
      <c r="CX115" s="298"/>
      <c r="CY115" s="298"/>
      <c r="CZ115" s="298"/>
      <c r="DA115" s="298"/>
      <c r="DB115" s="298"/>
      <c r="DC115" s="298"/>
      <c r="DD115" s="298"/>
      <c r="DE115" s="298"/>
      <c r="DF115" s="298"/>
      <c r="DG115" s="298"/>
      <c r="DH115" s="298"/>
      <c r="DI115" s="298"/>
      <c r="DJ115" s="298"/>
      <c r="DK115" s="298"/>
      <c r="DL115" s="298"/>
      <c r="DM115" s="298"/>
      <c r="DN115" s="298"/>
      <c r="DO115" s="298"/>
      <c r="DP115" s="298"/>
      <c r="DQ115" s="298"/>
      <c r="DR115" s="298"/>
      <c r="DS115" s="298"/>
      <c r="DT115" s="298"/>
      <c r="DU115" s="298"/>
      <c r="DV115" s="298"/>
      <c r="DW115" s="298"/>
      <c r="DX115" s="298"/>
      <c r="DY115" s="298"/>
      <c r="DZ115" s="298"/>
      <c r="EA115" s="8"/>
      <c r="EB115" s="298"/>
      <c r="EC115" s="298"/>
      <c r="ED115" s="298"/>
      <c r="EE115" s="298"/>
      <c r="EF115" s="8"/>
      <c r="EG115" s="298"/>
      <c r="EH115" s="298"/>
      <c r="EI115" s="298"/>
      <c r="EJ115" s="298"/>
      <c r="EK115" s="8"/>
      <c r="EL115" s="298"/>
      <c r="EM115" s="298"/>
      <c r="EN115" s="298"/>
      <c r="EO115" s="298"/>
      <c r="EP115" s="8"/>
      <c r="EQ115" s="298"/>
      <c r="ER115" s="298"/>
      <c r="ES115" s="298"/>
      <c r="ET115" s="298"/>
      <c r="EU115" s="8"/>
      <c r="EV115" s="154"/>
      <c r="EW115" s="154"/>
      <c r="EX115" s="154"/>
      <c r="EY115" s="154"/>
      <c r="EZ115" s="8"/>
      <c r="FA115" s="8"/>
    </row>
    <row r="116" spans="1:157" ht="17.399999999999999">
      <c r="A116" s="162" t="s">
        <v>9</v>
      </c>
      <c r="B116" s="307">
        <f t="array" ref="B116">IF(TRIM(A116)="",0,
   IFERROR(
      IF(INDEX($99:$99,1,MATCH(TRIM(A116),TRIM($1:$1),0))="",
         0,
         INDEX($99:$99,1,MATCH(TRIM(A116),TRIM($1:$1),0))
      ),
   0)
)</f>
        <v>0</v>
      </c>
      <c r="C116" s="301"/>
      <c r="D116" s="301"/>
      <c r="E116" s="162" t="str">
        <f t="shared" si="360"/>
        <v>0</v>
      </c>
      <c r="F116" s="299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57"/>
      <c r="AD116" s="157"/>
      <c r="AE116" s="157"/>
      <c r="AF116" s="157"/>
      <c r="AG116" s="157"/>
      <c r="AH116" s="157"/>
      <c r="AI116" s="157"/>
      <c r="AJ116" s="157"/>
      <c r="AK116" s="159"/>
      <c r="AL116" s="159"/>
      <c r="AM116" s="159"/>
      <c r="AN116" s="143"/>
      <c r="AO116" s="143"/>
      <c r="AP116" s="143"/>
      <c r="AQ116" s="143"/>
      <c r="AR116" s="143"/>
      <c r="AS116" s="159"/>
      <c r="AT116" s="159"/>
      <c r="AU116" s="159"/>
      <c r="AV116" s="159"/>
      <c r="AW116" s="159"/>
      <c r="AX116" s="159"/>
      <c r="AY116" s="159"/>
      <c r="AZ116" s="159"/>
      <c r="BA116" s="143"/>
      <c r="BB116" s="154"/>
      <c r="BC116" s="159"/>
      <c r="BD116" s="159"/>
      <c r="BE116" s="159"/>
      <c r="BF116" s="159"/>
      <c r="BG116" s="159"/>
      <c r="BH116" s="159"/>
      <c r="BI116" s="159"/>
      <c r="BJ116" s="154"/>
      <c r="BK116" s="154"/>
      <c r="BL116" s="154"/>
      <c r="BM116" s="154"/>
      <c r="BN116" s="154"/>
      <c r="BO116" s="154"/>
      <c r="BP116" s="154"/>
      <c r="BQ116" s="154"/>
      <c r="BR116" s="154"/>
      <c r="BS116" s="154"/>
      <c r="BT116" s="154"/>
      <c r="BU116" s="154"/>
      <c r="BV116" s="154"/>
      <c r="BW116" s="154"/>
      <c r="BX116" s="8"/>
      <c r="BY116" s="298"/>
      <c r="BZ116" s="298"/>
      <c r="CA116" s="298"/>
      <c r="CB116" s="298"/>
      <c r="CC116" s="298"/>
      <c r="CD116" s="298"/>
      <c r="CE116" s="298"/>
      <c r="CF116" s="298"/>
      <c r="CG116" s="298"/>
      <c r="CH116" s="298"/>
      <c r="CI116" s="298"/>
      <c r="CJ116" s="298"/>
      <c r="CK116" s="298"/>
      <c r="CL116" s="298"/>
      <c r="CM116" s="298"/>
      <c r="CN116" s="298"/>
      <c r="CO116" s="298"/>
      <c r="CP116" s="298"/>
      <c r="CQ116" s="298"/>
      <c r="CR116" s="298"/>
      <c r="CS116" s="298"/>
      <c r="CT116" s="298"/>
      <c r="CU116" s="298"/>
      <c r="CV116" s="298"/>
      <c r="CW116" s="298"/>
      <c r="CX116" s="298"/>
      <c r="CY116" s="298"/>
      <c r="CZ116" s="298"/>
      <c r="DA116" s="298"/>
      <c r="DB116" s="298"/>
      <c r="DC116" s="298"/>
      <c r="DD116" s="298"/>
      <c r="DE116" s="298"/>
      <c r="DF116" s="298"/>
      <c r="DG116" s="298"/>
      <c r="DH116" s="298"/>
      <c r="DI116" s="298"/>
      <c r="DJ116" s="298"/>
      <c r="DK116" s="298"/>
      <c r="DL116" s="298"/>
      <c r="DM116" s="298"/>
      <c r="DN116" s="298"/>
      <c r="DO116" s="298"/>
      <c r="DP116" s="298"/>
      <c r="DQ116" s="298"/>
      <c r="DR116" s="298"/>
      <c r="DS116" s="298"/>
      <c r="DT116" s="298"/>
      <c r="DU116" s="298"/>
      <c r="DV116" s="298"/>
      <c r="DW116" s="298"/>
      <c r="DX116" s="298"/>
      <c r="DY116" s="298"/>
      <c r="DZ116" s="298"/>
      <c r="EA116" s="8"/>
      <c r="EB116" s="298"/>
      <c r="EC116" s="298"/>
      <c r="ED116" s="298"/>
      <c r="EE116" s="298"/>
      <c r="EF116" s="8"/>
      <c r="EG116" s="298"/>
      <c r="EH116" s="298"/>
      <c r="EI116" s="298"/>
      <c r="EJ116" s="298"/>
      <c r="EK116" s="8"/>
      <c r="EL116" s="298"/>
      <c r="EM116" s="298"/>
      <c r="EN116" s="298"/>
      <c r="EO116" s="298"/>
      <c r="EP116" s="8"/>
      <c r="EQ116" s="298"/>
      <c r="ER116" s="298"/>
      <c r="ES116" s="298"/>
      <c r="ET116" s="298"/>
      <c r="EU116" s="8"/>
      <c r="EV116" s="154"/>
      <c r="EW116" s="154"/>
      <c r="EX116" s="154"/>
      <c r="EY116" s="154"/>
      <c r="EZ116" s="8"/>
      <c r="FA116" s="8"/>
    </row>
    <row r="117" spans="1:157" ht="17.399999999999999">
      <c r="A117" s="161"/>
      <c r="B117" s="308">
        <f t="array" ref="B117">IF(TRIM(A117)="",0,
   IFERROR(
      IF(INDEX($99:$99,1,MATCH(TRIM(A117),TRIM($1:$1),0))="",
         0,
         INDEX($99:$99,1,MATCH(TRIM(A117),TRIM($1:$1),0))
      ),
   0)
)</f>
        <v>0</v>
      </c>
      <c r="C117" s="301"/>
      <c r="D117" s="301"/>
      <c r="E117" s="161" t="str">
        <f t="shared" si="360"/>
        <v>0</v>
      </c>
      <c r="F117" s="299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57"/>
      <c r="AD117" s="157"/>
      <c r="AE117" s="157"/>
      <c r="AF117" s="157"/>
      <c r="AG117" s="157"/>
      <c r="AH117" s="157"/>
      <c r="AI117" s="157"/>
      <c r="AJ117" s="157"/>
      <c r="AK117" s="159"/>
      <c r="AL117" s="159"/>
      <c r="AM117" s="159"/>
      <c r="AN117" s="143"/>
      <c r="AO117" s="143"/>
      <c r="AP117" s="143"/>
      <c r="AQ117" s="143"/>
      <c r="AR117" s="143"/>
      <c r="AS117" s="159"/>
      <c r="AT117" s="159"/>
      <c r="AU117" s="159"/>
      <c r="AV117" s="159"/>
      <c r="AW117" s="159"/>
      <c r="AX117" s="159"/>
      <c r="AY117" s="159"/>
      <c r="AZ117" s="159"/>
      <c r="BA117" s="143"/>
      <c r="BB117" s="154"/>
      <c r="BC117" s="159"/>
      <c r="BD117" s="159"/>
      <c r="BE117" s="159"/>
      <c r="BF117" s="159"/>
      <c r="BG117" s="159"/>
      <c r="BH117" s="159"/>
      <c r="BI117" s="159"/>
      <c r="BJ117" s="154"/>
      <c r="BK117" s="154"/>
      <c r="BL117" s="154"/>
      <c r="BM117" s="154"/>
      <c r="BN117" s="154"/>
      <c r="BO117" s="154"/>
      <c r="BP117" s="154"/>
      <c r="BQ117" s="154"/>
      <c r="BR117" s="154"/>
      <c r="BS117" s="154"/>
      <c r="BT117" s="154"/>
      <c r="BU117" s="154"/>
      <c r="BV117" s="154"/>
      <c r="BW117" s="154"/>
      <c r="BX117" s="8"/>
      <c r="BY117" s="298"/>
      <c r="BZ117" s="298"/>
      <c r="CA117" s="298"/>
      <c r="CB117" s="298"/>
      <c r="CC117" s="298"/>
      <c r="CD117" s="298"/>
      <c r="CE117" s="298"/>
      <c r="CF117" s="298"/>
      <c r="CG117" s="298"/>
      <c r="CH117" s="298"/>
      <c r="CI117" s="298"/>
      <c r="CJ117" s="298"/>
      <c r="CK117" s="298"/>
      <c r="CL117" s="298"/>
      <c r="CM117" s="298"/>
      <c r="CN117" s="298"/>
      <c r="CO117" s="298"/>
      <c r="CP117" s="298"/>
      <c r="CQ117" s="298"/>
      <c r="CR117" s="298"/>
      <c r="CS117" s="298"/>
      <c r="CT117" s="298"/>
      <c r="CU117" s="298"/>
      <c r="CV117" s="298"/>
      <c r="CW117" s="298"/>
      <c r="CX117" s="298"/>
      <c r="CY117" s="298"/>
      <c r="CZ117" s="298"/>
      <c r="DA117" s="298"/>
      <c r="DB117" s="298"/>
      <c r="DC117" s="298"/>
      <c r="DD117" s="298"/>
      <c r="DE117" s="298"/>
      <c r="DF117" s="298"/>
      <c r="DG117" s="298"/>
      <c r="DH117" s="298"/>
      <c r="DI117" s="298"/>
      <c r="DJ117" s="298"/>
      <c r="DK117" s="298"/>
      <c r="DL117" s="298"/>
      <c r="DM117" s="298"/>
      <c r="DN117" s="298"/>
      <c r="DO117" s="298"/>
      <c r="DP117" s="298"/>
      <c r="DQ117" s="298"/>
      <c r="DR117" s="298"/>
      <c r="DS117" s="298"/>
      <c r="DT117" s="298"/>
      <c r="DU117" s="298"/>
      <c r="DV117" s="298"/>
      <c r="DW117" s="298"/>
      <c r="DX117" s="298"/>
      <c r="DY117" s="298"/>
      <c r="DZ117" s="298"/>
      <c r="EA117" s="8"/>
      <c r="EB117" s="298"/>
      <c r="EC117" s="298"/>
      <c r="ED117" s="298"/>
      <c r="EE117" s="298"/>
      <c r="EF117" s="8"/>
      <c r="EG117" s="298"/>
      <c r="EH117" s="298"/>
      <c r="EI117" s="298"/>
      <c r="EJ117" s="298"/>
      <c r="EK117" s="8"/>
      <c r="EL117" s="298"/>
      <c r="EM117" s="298"/>
      <c r="EN117" s="298"/>
      <c r="EO117" s="298"/>
      <c r="EP117" s="8"/>
      <c r="EQ117" s="298"/>
      <c r="ER117" s="298"/>
      <c r="ES117" s="298"/>
      <c r="ET117" s="298"/>
      <c r="EU117" s="8"/>
      <c r="EV117" s="154"/>
      <c r="EW117" s="154"/>
      <c r="EX117" s="154"/>
      <c r="EY117" s="154"/>
      <c r="EZ117" s="8"/>
      <c r="FA117" s="8"/>
    </row>
    <row r="118" spans="1:157" ht="17.399999999999999">
      <c r="A118" s="162"/>
      <c r="B118" s="307">
        <f t="array" ref="B118">IF(TRIM(A118)="",0,
   IFERROR(
      IF(INDEX($99:$99,1,MATCH(TRIM(A118),TRIM($1:$1),0))="",
         0,
         INDEX($99:$99,1,MATCH(TRIM(A118),TRIM($1:$1),0))
      ),
   0)
)</f>
        <v>0</v>
      </c>
      <c r="C118" s="301"/>
      <c r="D118" s="301"/>
      <c r="E118" s="162" t="str">
        <f t="shared" si="360"/>
        <v>0</v>
      </c>
      <c r="F118" s="299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57"/>
      <c r="AD118" s="157"/>
      <c r="AE118" s="157"/>
      <c r="AF118" s="157"/>
      <c r="AG118" s="157"/>
      <c r="AH118" s="157"/>
      <c r="AI118" s="157"/>
      <c r="AJ118" s="157"/>
      <c r="AK118" s="159"/>
      <c r="AL118" s="159"/>
      <c r="AM118" s="159"/>
      <c r="AN118" s="143"/>
      <c r="AO118" s="143"/>
      <c r="AP118" s="143"/>
      <c r="AQ118" s="143"/>
      <c r="AR118" s="143"/>
      <c r="AS118" s="159"/>
      <c r="AT118" s="159"/>
      <c r="AU118" s="159"/>
      <c r="AV118" s="159"/>
      <c r="AW118" s="159"/>
      <c r="AX118" s="159"/>
      <c r="AY118" s="159"/>
      <c r="AZ118" s="159"/>
      <c r="BA118" s="143"/>
      <c r="BB118" s="154"/>
      <c r="BC118" s="159"/>
      <c r="BD118" s="159"/>
      <c r="BE118" s="159"/>
      <c r="BF118" s="159"/>
      <c r="BG118" s="159"/>
      <c r="BH118" s="159"/>
      <c r="BI118" s="159"/>
      <c r="BJ118" s="154"/>
      <c r="BK118" s="154"/>
      <c r="BL118" s="154"/>
      <c r="BM118" s="154"/>
      <c r="BN118" s="154"/>
      <c r="BO118" s="154"/>
      <c r="BP118" s="154"/>
      <c r="BQ118" s="154"/>
      <c r="BR118" s="154"/>
      <c r="BS118" s="154"/>
      <c r="BT118" s="154"/>
      <c r="BU118" s="154"/>
      <c r="BV118" s="154"/>
      <c r="BW118" s="154"/>
      <c r="BX118" s="8"/>
      <c r="BY118" s="298"/>
      <c r="BZ118" s="298"/>
      <c r="CA118" s="298"/>
      <c r="CB118" s="298"/>
      <c r="CC118" s="298"/>
      <c r="CD118" s="298"/>
      <c r="CE118" s="298"/>
      <c r="CF118" s="298"/>
      <c r="CG118" s="298"/>
      <c r="CH118" s="298"/>
      <c r="CI118" s="298"/>
      <c r="CJ118" s="298"/>
      <c r="CK118" s="298"/>
      <c r="CL118" s="298"/>
      <c r="CM118" s="298"/>
      <c r="CN118" s="298"/>
      <c r="CO118" s="298"/>
      <c r="CP118" s="298"/>
      <c r="CQ118" s="298"/>
      <c r="CR118" s="298"/>
      <c r="CS118" s="298"/>
      <c r="CT118" s="298"/>
      <c r="CU118" s="298"/>
      <c r="CV118" s="298"/>
      <c r="CW118" s="298"/>
      <c r="CX118" s="298"/>
      <c r="CY118" s="298"/>
      <c r="CZ118" s="298"/>
      <c r="DA118" s="298"/>
      <c r="DB118" s="298"/>
      <c r="DC118" s="298"/>
      <c r="DD118" s="298"/>
      <c r="DE118" s="298"/>
      <c r="DF118" s="298"/>
      <c r="DG118" s="298"/>
      <c r="DH118" s="298"/>
      <c r="DI118" s="298"/>
      <c r="DJ118" s="298"/>
      <c r="DK118" s="298"/>
      <c r="DL118" s="298"/>
      <c r="DM118" s="298"/>
      <c r="DN118" s="298"/>
      <c r="DO118" s="298"/>
      <c r="DP118" s="298"/>
      <c r="DQ118" s="298"/>
      <c r="DR118" s="298"/>
      <c r="DS118" s="298"/>
      <c r="DT118" s="298"/>
      <c r="DU118" s="298"/>
      <c r="DV118" s="298"/>
      <c r="DW118" s="298"/>
      <c r="DX118" s="298"/>
      <c r="DY118" s="298"/>
      <c r="DZ118" s="298"/>
      <c r="EA118" s="8"/>
      <c r="EB118" s="298"/>
      <c r="EC118" s="298"/>
      <c r="ED118" s="298"/>
      <c r="EE118" s="298"/>
      <c r="EF118" s="8"/>
      <c r="EG118" s="298"/>
      <c r="EH118" s="298"/>
      <c r="EI118" s="298"/>
      <c r="EJ118" s="298"/>
      <c r="EK118" s="8"/>
      <c r="EL118" s="298"/>
      <c r="EM118" s="298"/>
      <c r="EN118" s="298"/>
      <c r="EO118" s="298"/>
      <c r="EP118" s="8"/>
      <c r="EQ118" s="298"/>
      <c r="ER118" s="298"/>
      <c r="ES118" s="298"/>
      <c r="ET118" s="298"/>
      <c r="EU118" s="8"/>
      <c r="EV118" s="154"/>
      <c r="EW118" s="154"/>
      <c r="EX118" s="154"/>
      <c r="EY118" s="154"/>
      <c r="EZ118" s="8"/>
      <c r="FA118" s="8"/>
    </row>
    <row r="119" spans="1:157" ht="17.399999999999999">
      <c r="A119" s="161"/>
      <c r="B119" s="308">
        <f t="array" ref="B119">IF(TRIM(A119)="",0,
   IFERROR(
      IF(INDEX($99:$99,1,MATCH(TRIM(A119),TRIM($1:$1),0))="",
         0,
         INDEX($99:$99,1,MATCH(TRIM(A119),TRIM($1:$1),0))
      ),
   0)
)</f>
        <v>0</v>
      </c>
      <c r="C119" s="301"/>
      <c r="D119" s="301"/>
      <c r="E119" s="161" t="str">
        <f t="shared" si="360"/>
        <v>0</v>
      </c>
      <c r="F119" s="299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57"/>
      <c r="AD119" s="157"/>
      <c r="AE119" s="157"/>
      <c r="AF119" s="157"/>
      <c r="AG119" s="157"/>
      <c r="AH119" s="157"/>
      <c r="AI119" s="157"/>
      <c r="AJ119" s="157"/>
      <c r="AK119" s="159"/>
      <c r="AL119" s="159"/>
      <c r="AM119" s="159"/>
      <c r="AN119" s="143"/>
      <c r="AO119" s="143"/>
      <c r="AP119" s="143"/>
      <c r="AQ119" s="143"/>
      <c r="AR119" s="143"/>
      <c r="AS119" s="159"/>
      <c r="AT119" s="159"/>
      <c r="AU119" s="159"/>
      <c r="AV119" s="159"/>
      <c r="AW119" s="159"/>
      <c r="AX119" s="159"/>
      <c r="AY119" s="159"/>
      <c r="AZ119" s="159"/>
      <c r="BA119" s="143"/>
      <c r="BB119" s="154"/>
      <c r="BC119" s="159"/>
      <c r="BD119" s="159"/>
      <c r="BE119" s="159"/>
      <c r="BF119" s="159"/>
      <c r="BG119" s="159"/>
      <c r="BH119" s="159"/>
      <c r="BI119" s="159"/>
      <c r="BJ119" s="154"/>
      <c r="BK119" s="154"/>
      <c r="BL119" s="154"/>
      <c r="BM119" s="154"/>
      <c r="BN119" s="154"/>
      <c r="BO119" s="154"/>
      <c r="BP119" s="154"/>
      <c r="BQ119" s="154"/>
      <c r="BR119" s="154"/>
      <c r="BS119" s="154"/>
      <c r="BT119" s="154"/>
      <c r="BU119" s="154"/>
      <c r="BV119" s="154"/>
      <c r="BW119" s="154"/>
      <c r="BX119" s="8"/>
      <c r="BY119" s="298"/>
      <c r="BZ119" s="298"/>
      <c r="CA119" s="298"/>
      <c r="CB119" s="298"/>
      <c r="CC119" s="298"/>
      <c r="CD119" s="298"/>
      <c r="CE119" s="298"/>
      <c r="CF119" s="298"/>
      <c r="CG119" s="298"/>
      <c r="CH119" s="298"/>
      <c r="CI119" s="298"/>
      <c r="CJ119" s="298"/>
      <c r="CK119" s="298"/>
      <c r="CL119" s="298"/>
      <c r="CM119" s="298"/>
      <c r="CN119" s="298"/>
      <c r="CO119" s="298"/>
      <c r="CP119" s="298"/>
      <c r="CQ119" s="298"/>
      <c r="CR119" s="298"/>
      <c r="CS119" s="298"/>
      <c r="CT119" s="298"/>
      <c r="CU119" s="298"/>
      <c r="CV119" s="298"/>
      <c r="CW119" s="298"/>
      <c r="CX119" s="298"/>
      <c r="CY119" s="298"/>
      <c r="CZ119" s="298"/>
      <c r="DA119" s="298"/>
      <c r="DB119" s="298"/>
      <c r="DC119" s="298"/>
      <c r="DD119" s="298"/>
      <c r="DE119" s="298"/>
      <c r="DF119" s="298"/>
      <c r="DG119" s="298"/>
      <c r="DH119" s="298"/>
      <c r="DI119" s="298"/>
      <c r="DJ119" s="298"/>
      <c r="DK119" s="298"/>
      <c r="DL119" s="298"/>
      <c r="DM119" s="298"/>
      <c r="DN119" s="298"/>
      <c r="DO119" s="298"/>
      <c r="DP119" s="298"/>
      <c r="DQ119" s="298"/>
      <c r="DR119" s="298"/>
      <c r="DS119" s="298"/>
      <c r="DT119" s="298"/>
      <c r="DU119" s="298"/>
      <c r="DV119" s="298"/>
      <c r="DW119" s="298"/>
      <c r="DX119" s="298"/>
      <c r="DY119" s="298"/>
      <c r="DZ119" s="298"/>
      <c r="EA119" s="8"/>
      <c r="EB119" s="298"/>
      <c r="EC119" s="298"/>
      <c r="ED119" s="298"/>
      <c r="EE119" s="298"/>
      <c r="EF119" s="8"/>
      <c r="EG119" s="298"/>
      <c r="EH119" s="298"/>
      <c r="EI119" s="298"/>
      <c r="EJ119" s="298"/>
      <c r="EK119" s="8"/>
      <c r="EL119" s="298"/>
      <c r="EM119" s="298"/>
      <c r="EN119" s="298"/>
      <c r="EO119" s="298"/>
      <c r="EP119" s="8"/>
      <c r="EQ119" s="298"/>
      <c r="ER119" s="298"/>
      <c r="ES119" s="298"/>
      <c r="ET119" s="298"/>
      <c r="EU119" s="8"/>
      <c r="EV119" s="154"/>
      <c r="EW119" s="154"/>
      <c r="EX119" s="154"/>
      <c r="EY119" s="154"/>
      <c r="EZ119" s="8"/>
      <c r="FA119" s="8"/>
    </row>
    <row r="120" spans="1:157" ht="17.399999999999999">
      <c r="A120" s="162"/>
      <c r="B120" s="307">
        <f t="array" ref="B120">IF(TRIM(A120)="",0,
   IFERROR(
      IF(INDEX($99:$99,1,MATCH(TRIM(A120),TRIM($1:$1),0))="",
         0,
         INDEX($99:$99,1,MATCH(TRIM(A120),TRIM($1:$1),0))
      ),
   0)
)</f>
        <v>0</v>
      </c>
      <c r="C120" s="301"/>
      <c r="D120" s="301"/>
      <c r="E120" s="162" t="str">
        <f t="shared" si="360"/>
        <v>0</v>
      </c>
      <c r="F120" s="299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57"/>
      <c r="AD120" s="157"/>
      <c r="AE120" s="157"/>
      <c r="AF120" s="157"/>
      <c r="AG120" s="157"/>
      <c r="AH120" s="157"/>
      <c r="AI120" s="157"/>
      <c r="AJ120" s="157"/>
      <c r="AK120" s="159"/>
      <c r="AL120" s="159"/>
      <c r="AM120" s="159"/>
      <c r="AN120" s="143"/>
      <c r="AO120" s="143"/>
      <c r="AP120" s="143"/>
      <c r="AQ120" s="143"/>
      <c r="AR120" s="143"/>
      <c r="AS120" s="159"/>
      <c r="AT120" s="159"/>
      <c r="AU120" s="159"/>
      <c r="AV120" s="159"/>
      <c r="AW120" s="159"/>
      <c r="AX120" s="159"/>
      <c r="AY120" s="159"/>
      <c r="AZ120" s="159"/>
      <c r="BA120" s="143"/>
      <c r="BB120" s="154"/>
      <c r="BC120" s="159"/>
      <c r="BD120" s="159"/>
      <c r="BE120" s="159"/>
      <c r="BF120" s="159"/>
      <c r="BG120" s="159"/>
      <c r="BH120" s="159"/>
      <c r="BI120" s="159"/>
      <c r="BJ120" s="154"/>
      <c r="BK120" s="154"/>
      <c r="BL120" s="154"/>
      <c r="BM120" s="154"/>
      <c r="BN120" s="154"/>
      <c r="BO120" s="154"/>
      <c r="BP120" s="154"/>
      <c r="BQ120" s="154"/>
      <c r="BR120" s="154"/>
      <c r="BS120" s="154"/>
      <c r="BT120" s="154"/>
      <c r="BU120" s="154"/>
      <c r="BV120" s="154"/>
      <c r="BW120" s="154"/>
      <c r="BX120" s="8"/>
      <c r="BY120" s="298"/>
      <c r="BZ120" s="298"/>
      <c r="CA120" s="298"/>
      <c r="CB120" s="298"/>
      <c r="CC120" s="298"/>
      <c r="CD120" s="298"/>
      <c r="CE120" s="298"/>
      <c r="CF120" s="298"/>
      <c r="CG120" s="298"/>
      <c r="CH120" s="298"/>
      <c r="CI120" s="298"/>
      <c r="CJ120" s="298"/>
      <c r="CK120" s="298"/>
      <c r="CL120" s="298"/>
      <c r="CM120" s="298"/>
      <c r="CN120" s="298"/>
      <c r="CO120" s="298"/>
      <c r="CP120" s="298"/>
      <c r="CQ120" s="298"/>
      <c r="CR120" s="298"/>
      <c r="CS120" s="298"/>
      <c r="CT120" s="298"/>
      <c r="CU120" s="298"/>
      <c r="CV120" s="298"/>
      <c r="CW120" s="298"/>
      <c r="CX120" s="298"/>
      <c r="CY120" s="298"/>
      <c r="CZ120" s="298"/>
      <c r="DA120" s="298"/>
      <c r="DB120" s="298"/>
      <c r="DC120" s="298"/>
      <c r="DD120" s="298"/>
      <c r="DE120" s="298"/>
      <c r="DF120" s="298"/>
      <c r="DG120" s="298"/>
      <c r="DH120" s="298"/>
      <c r="DI120" s="298"/>
      <c r="DJ120" s="298"/>
      <c r="DK120" s="298"/>
      <c r="DL120" s="298"/>
      <c r="DM120" s="298"/>
      <c r="DN120" s="298"/>
      <c r="DO120" s="298"/>
      <c r="DP120" s="298"/>
      <c r="DQ120" s="298"/>
      <c r="DR120" s="298"/>
      <c r="DS120" s="298"/>
      <c r="DT120" s="298"/>
      <c r="DU120" s="298"/>
      <c r="DV120" s="298"/>
      <c r="DW120" s="298"/>
      <c r="DX120" s="298"/>
      <c r="DY120" s="298"/>
      <c r="DZ120" s="298"/>
      <c r="EA120" s="8"/>
      <c r="EB120" s="298"/>
      <c r="EC120" s="298"/>
      <c r="ED120" s="298"/>
      <c r="EE120" s="298"/>
      <c r="EF120" s="8"/>
      <c r="EG120" s="298"/>
      <c r="EH120" s="298"/>
      <c r="EI120" s="298"/>
      <c r="EJ120" s="298"/>
      <c r="EK120" s="8"/>
      <c r="EL120" s="298"/>
      <c r="EM120" s="298"/>
      <c r="EN120" s="298"/>
      <c r="EO120" s="298"/>
      <c r="EP120" s="8"/>
      <c r="EQ120" s="298"/>
      <c r="ER120" s="298"/>
      <c r="ES120" s="298"/>
      <c r="ET120" s="298"/>
      <c r="EU120" s="8"/>
      <c r="EV120" s="154"/>
      <c r="EW120" s="154"/>
      <c r="EX120" s="154"/>
      <c r="EY120" s="154"/>
      <c r="EZ120" s="8"/>
      <c r="FA120" s="8"/>
    </row>
    <row r="121" spans="1:157" ht="17.399999999999999">
      <c r="A121" s="161"/>
      <c r="B121" s="308">
        <f t="array" ref="B121">IF(TRIM(A121)="",0,
   IFERROR(
      IF(INDEX($99:$99,1,MATCH(TRIM(A121),TRIM($1:$1),0))="",
         0,
         INDEX($99:$99,1,MATCH(TRIM(A121),TRIM($1:$1),0))
      ),
   0)
)</f>
        <v>0</v>
      </c>
      <c r="C121" s="301"/>
      <c r="D121" s="301"/>
      <c r="E121" s="161" t="str">
        <f t="shared" si="360"/>
        <v>0</v>
      </c>
      <c r="F121" s="299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57"/>
      <c r="AD121" s="157"/>
      <c r="AE121" s="157"/>
      <c r="AF121" s="157"/>
      <c r="AG121" s="157"/>
      <c r="AH121" s="157"/>
      <c r="AI121" s="157"/>
      <c r="AJ121" s="157"/>
      <c r="AK121" s="159"/>
      <c r="AL121" s="159"/>
      <c r="AM121" s="159"/>
      <c r="AN121" s="143"/>
      <c r="AO121" s="143"/>
      <c r="AP121" s="143"/>
      <c r="AQ121" s="143"/>
      <c r="AR121" s="143"/>
      <c r="AS121" s="159"/>
      <c r="AT121" s="159"/>
      <c r="AU121" s="159"/>
      <c r="AV121" s="159"/>
      <c r="AW121" s="159"/>
      <c r="AX121" s="159"/>
      <c r="AY121" s="159"/>
      <c r="AZ121" s="159"/>
      <c r="BA121" s="143"/>
      <c r="BB121" s="154"/>
      <c r="BC121" s="159"/>
      <c r="BD121" s="159"/>
      <c r="BE121" s="159"/>
      <c r="BF121" s="159"/>
      <c r="BG121" s="159"/>
      <c r="BH121" s="159"/>
      <c r="BI121" s="159"/>
      <c r="BJ121" s="154"/>
      <c r="BK121" s="154"/>
      <c r="BL121" s="154"/>
      <c r="BM121" s="154"/>
      <c r="BN121" s="154"/>
      <c r="BO121" s="154"/>
      <c r="BP121" s="154"/>
      <c r="BQ121" s="154"/>
      <c r="BR121" s="154"/>
      <c r="BS121" s="154"/>
      <c r="BT121" s="154"/>
      <c r="BU121" s="154"/>
      <c r="BV121" s="154"/>
      <c r="BW121" s="154"/>
      <c r="BX121" s="8"/>
      <c r="BY121" s="298"/>
      <c r="BZ121" s="298"/>
      <c r="CA121" s="298"/>
      <c r="CB121" s="298"/>
      <c r="CC121" s="298"/>
      <c r="CD121" s="298"/>
      <c r="CE121" s="298"/>
      <c r="CF121" s="298"/>
      <c r="CG121" s="298"/>
      <c r="CH121" s="298"/>
      <c r="CI121" s="298"/>
      <c r="CJ121" s="298"/>
      <c r="CK121" s="298"/>
      <c r="CL121" s="298"/>
      <c r="CM121" s="298"/>
      <c r="CN121" s="298"/>
      <c r="CO121" s="298"/>
      <c r="CP121" s="298"/>
      <c r="CQ121" s="298"/>
      <c r="CR121" s="298"/>
      <c r="CS121" s="298"/>
      <c r="CT121" s="298"/>
      <c r="CU121" s="298"/>
      <c r="CV121" s="298"/>
      <c r="CW121" s="298"/>
      <c r="CX121" s="298"/>
      <c r="CY121" s="298"/>
      <c r="CZ121" s="298"/>
      <c r="DA121" s="298"/>
      <c r="DB121" s="298"/>
      <c r="DC121" s="298"/>
      <c r="DD121" s="298"/>
      <c r="DE121" s="298"/>
      <c r="DF121" s="298"/>
      <c r="DG121" s="298"/>
      <c r="DH121" s="298"/>
      <c r="DI121" s="298"/>
      <c r="DJ121" s="298"/>
      <c r="DK121" s="298"/>
      <c r="DL121" s="298"/>
      <c r="DM121" s="298"/>
      <c r="DN121" s="298"/>
      <c r="DO121" s="298"/>
      <c r="DP121" s="298"/>
      <c r="DQ121" s="298"/>
      <c r="DR121" s="298"/>
      <c r="DS121" s="298"/>
      <c r="DT121" s="298"/>
      <c r="DU121" s="298"/>
      <c r="DV121" s="298"/>
      <c r="DW121" s="298"/>
      <c r="DX121" s="298"/>
      <c r="DY121" s="298"/>
      <c r="DZ121" s="298"/>
      <c r="EA121" s="8"/>
      <c r="EB121" s="298"/>
      <c r="EC121" s="298"/>
      <c r="ED121" s="298"/>
      <c r="EE121" s="298"/>
      <c r="EF121" s="8"/>
      <c r="EG121" s="298"/>
      <c r="EH121" s="298"/>
      <c r="EI121" s="298"/>
      <c r="EJ121" s="298"/>
      <c r="EK121" s="8"/>
      <c r="EL121" s="298"/>
      <c r="EM121" s="298"/>
      <c r="EN121" s="298"/>
      <c r="EO121" s="298"/>
      <c r="EP121" s="8"/>
      <c r="EQ121" s="298"/>
      <c r="ER121" s="298"/>
      <c r="ES121" s="298"/>
      <c r="ET121" s="298"/>
      <c r="EU121" s="8"/>
      <c r="EV121" s="154"/>
      <c r="EW121" s="154"/>
      <c r="EX121" s="154"/>
      <c r="EY121" s="154"/>
      <c r="EZ121" s="8"/>
      <c r="FA121" s="8"/>
    </row>
    <row r="122" spans="1:157" ht="17.399999999999999">
      <c r="A122" s="162"/>
      <c r="B122" s="307">
        <f t="array" ref="B122">IF(TRIM(A122)="",0,
   IFERROR(
      IF(INDEX($99:$99,1,MATCH(TRIM(A122),TRIM($1:$1),0))="",
         0,
         INDEX($99:$99,1,MATCH(TRIM(A122),TRIM($1:$1),0))
      ),
   0)
)</f>
        <v>0</v>
      </c>
      <c r="C122" s="301"/>
      <c r="D122" s="301"/>
      <c r="E122" s="162" t="str">
        <f t="shared" si="360"/>
        <v>0</v>
      </c>
      <c r="F122" s="299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57"/>
      <c r="AD122" s="157"/>
      <c r="AE122" s="157"/>
      <c r="AF122" s="157"/>
      <c r="AG122" s="157"/>
      <c r="AH122" s="157"/>
      <c r="AI122" s="157"/>
      <c r="AJ122" s="157"/>
      <c r="AK122" s="159"/>
      <c r="AL122" s="159"/>
      <c r="AM122" s="159"/>
      <c r="AN122" s="143"/>
      <c r="AO122" s="143"/>
      <c r="AP122" s="143"/>
      <c r="AQ122" s="143"/>
      <c r="AR122" s="143"/>
      <c r="AS122" s="159"/>
      <c r="AT122" s="159"/>
      <c r="AU122" s="159"/>
      <c r="AV122" s="159"/>
      <c r="AW122" s="159"/>
      <c r="AX122" s="159"/>
      <c r="AY122" s="159"/>
      <c r="AZ122" s="159"/>
      <c r="BA122" s="143"/>
      <c r="BB122" s="154"/>
      <c r="BC122" s="159"/>
      <c r="BD122" s="159"/>
      <c r="BE122" s="159"/>
      <c r="BF122" s="159"/>
      <c r="BG122" s="159"/>
      <c r="BH122" s="159"/>
      <c r="BI122" s="159"/>
      <c r="BJ122" s="154"/>
      <c r="BK122" s="154"/>
      <c r="BL122" s="154"/>
      <c r="BM122" s="154"/>
      <c r="BN122" s="154"/>
      <c r="BO122" s="154"/>
      <c r="BP122" s="154"/>
      <c r="BQ122" s="154"/>
      <c r="BR122" s="154"/>
      <c r="BS122" s="154"/>
      <c r="BT122" s="154"/>
      <c r="BU122" s="154"/>
      <c r="BV122" s="154"/>
      <c r="BW122" s="154"/>
      <c r="BX122" s="8"/>
      <c r="BY122" s="298"/>
      <c r="BZ122" s="298"/>
      <c r="CA122" s="298"/>
      <c r="CB122" s="298"/>
      <c r="CC122" s="298"/>
      <c r="CD122" s="298"/>
      <c r="CE122" s="298"/>
      <c r="CF122" s="298"/>
      <c r="CG122" s="298"/>
      <c r="CH122" s="298"/>
      <c r="CI122" s="298"/>
      <c r="CJ122" s="298"/>
      <c r="CK122" s="298"/>
      <c r="CL122" s="298"/>
      <c r="CM122" s="298"/>
      <c r="CN122" s="298"/>
      <c r="CO122" s="298"/>
      <c r="CP122" s="298"/>
      <c r="CQ122" s="298"/>
      <c r="CR122" s="298"/>
      <c r="CS122" s="298"/>
      <c r="CT122" s="298"/>
      <c r="CU122" s="298"/>
      <c r="CV122" s="298"/>
      <c r="CW122" s="298"/>
      <c r="CX122" s="298"/>
      <c r="CY122" s="298"/>
      <c r="CZ122" s="298"/>
      <c r="DA122" s="298"/>
      <c r="DB122" s="298"/>
      <c r="DC122" s="298"/>
      <c r="DD122" s="298"/>
      <c r="DE122" s="298"/>
      <c r="DF122" s="298"/>
      <c r="DG122" s="298"/>
      <c r="DH122" s="298"/>
      <c r="DI122" s="298"/>
      <c r="DJ122" s="298"/>
      <c r="DK122" s="298"/>
      <c r="DL122" s="298"/>
      <c r="DM122" s="298"/>
      <c r="DN122" s="298"/>
      <c r="DO122" s="298"/>
      <c r="DP122" s="298"/>
      <c r="DQ122" s="298"/>
      <c r="DR122" s="298"/>
      <c r="DS122" s="298"/>
      <c r="DT122" s="298"/>
      <c r="DU122" s="298"/>
      <c r="DV122" s="298"/>
      <c r="DW122" s="298"/>
      <c r="DX122" s="298"/>
      <c r="DY122" s="298"/>
      <c r="DZ122" s="298"/>
      <c r="EA122" s="8"/>
      <c r="EB122" s="298"/>
      <c r="EC122" s="298"/>
      <c r="ED122" s="298"/>
      <c r="EE122" s="298"/>
      <c r="EF122" s="8"/>
      <c r="EG122" s="298"/>
      <c r="EH122" s="298"/>
      <c r="EI122" s="298"/>
      <c r="EJ122" s="298"/>
      <c r="EK122" s="8"/>
      <c r="EL122" s="298"/>
      <c r="EM122" s="298"/>
      <c r="EN122" s="298"/>
      <c r="EO122" s="298"/>
      <c r="EP122" s="8"/>
      <c r="EQ122" s="298"/>
      <c r="ER122" s="298"/>
      <c r="ES122" s="298"/>
      <c r="ET122" s="298"/>
      <c r="EU122" s="8"/>
      <c r="EV122" s="154"/>
      <c r="EW122" s="154"/>
      <c r="EX122" s="154"/>
      <c r="EY122" s="154"/>
      <c r="EZ122" s="8"/>
      <c r="FA122" s="8"/>
    </row>
    <row r="123" spans="1:157" ht="17.399999999999999">
      <c r="A123" s="161"/>
      <c r="B123" s="308">
        <f t="array" ref="B123">IF(TRIM(A123)="",0,
   IFERROR(
      IF(INDEX($99:$99,1,MATCH(TRIM(A123),TRIM($1:$1),0))="",
         0,
         INDEX($99:$99,1,MATCH(TRIM(A123),TRIM($1:$1),0))
      ),
   0)
)</f>
        <v>0</v>
      </c>
      <c r="C123" s="301"/>
      <c r="D123" s="301"/>
      <c r="E123" s="161" t="str">
        <f t="shared" si="360"/>
        <v>0</v>
      </c>
      <c r="F123" s="299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57"/>
      <c r="AD123" s="157"/>
      <c r="AE123" s="157"/>
      <c r="AF123" s="157"/>
      <c r="AG123" s="157"/>
      <c r="AH123" s="157"/>
      <c r="AI123" s="157"/>
      <c r="AJ123" s="157"/>
      <c r="AK123" s="159"/>
      <c r="AL123" s="159"/>
      <c r="AM123" s="159"/>
      <c r="AN123" s="143"/>
      <c r="AO123" s="143"/>
      <c r="AP123" s="143"/>
      <c r="AQ123" s="143"/>
      <c r="AR123" s="143"/>
      <c r="AS123" s="159"/>
      <c r="AT123" s="159"/>
      <c r="AU123" s="159"/>
      <c r="AV123" s="159"/>
      <c r="AW123" s="159"/>
      <c r="AX123" s="159"/>
      <c r="AY123" s="159"/>
      <c r="AZ123" s="159"/>
      <c r="BA123" s="143"/>
      <c r="BB123" s="154"/>
      <c r="BC123" s="159"/>
      <c r="BD123" s="159"/>
      <c r="BE123" s="159"/>
      <c r="BF123" s="159"/>
      <c r="BG123" s="159"/>
      <c r="BH123" s="159"/>
      <c r="BI123" s="159"/>
      <c r="BJ123" s="154"/>
      <c r="BK123" s="154"/>
      <c r="BL123" s="154"/>
      <c r="BM123" s="154"/>
      <c r="BN123" s="154"/>
      <c r="BO123" s="154"/>
      <c r="BP123" s="154"/>
      <c r="BQ123" s="154"/>
      <c r="BR123" s="154"/>
      <c r="BS123" s="154"/>
      <c r="BT123" s="154"/>
      <c r="BU123" s="154"/>
      <c r="BV123" s="154"/>
      <c r="BW123" s="154"/>
      <c r="BX123" s="8"/>
      <c r="BY123" s="298"/>
      <c r="BZ123" s="298"/>
      <c r="CA123" s="298"/>
      <c r="CB123" s="298"/>
      <c r="CC123" s="298"/>
      <c r="CD123" s="298"/>
      <c r="CE123" s="298"/>
      <c r="CF123" s="298"/>
      <c r="CG123" s="298"/>
      <c r="CH123" s="298"/>
      <c r="CI123" s="298"/>
      <c r="CJ123" s="298"/>
      <c r="CK123" s="298"/>
      <c r="CL123" s="298"/>
      <c r="CM123" s="298"/>
      <c r="CN123" s="298"/>
      <c r="CO123" s="298"/>
      <c r="CP123" s="298"/>
      <c r="CQ123" s="298"/>
      <c r="CR123" s="298"/>
      <c r="CS123" s="298"/>
      <c r="CT123" s="298"/>
      <c r="CU123" s="298"/>
      <c r="CV123" s="298"/>
      <c r="CW123" s="298"/>
      <c r="CX123" s="298"/>
      <c r="CY123" s="298"/>
      <c r="CZ123" s="298"/>
      <c r="DA123" s="298"/>
      <c r="DB123" s="298"/>
      <c r="DC123" s="298"/>
      <c r="DD123" s="298"/>
      <c r="DE123" s="298"/>
      <c r="DF123" s="298"/>
      <c r="DG123" s="298"/>
      <c r="DH123" s="298"/>
      <c r="DI123" s="298"/>
      <c r="DJ123" s="298"/>
      <c r="DK123" s="298"/>
      <c r="DL123" s="298"/>
      <c r="DM123" s="298"/>
      <c r="DN123" s="298"/>
      <c r="DO123" s="298"/>
      <c r="DP123" s="298"/>
      <c r="DQ123" s="298"/>
      <c r="DR123" s="298"/>
      <c r="DS123" s="298"/>
      <c r="DT123" s="298"/>
      <c r="DU123" s="298"/>
      <c r="DV123" s="298"/>
      <c r="DW123" s="298"/>
      <c r="DX123" s="298"/>
      <c r="DY123" s="298"/>
      <c r="DZ123" s="298"/>
      <c r="EA123" s="8"/>
      <c r="EB123" s="298"/>
      <c r="EC123" s="298"/>
      <c r="ED123" s="298"/>
      <c r="EE123" s="298"/>
      <c r="EF123" s="8"/>
      <c r="EG123" s="298"/>
      <c r="EH123" s="298"/>
      <c r="EI123" s="298"/>
      <c r="EJ123" s="298"/>
      <c r="EK123" s="8"/>
      <c r="EL123" s="298"/>
      <c r="EM123" s="298"/>
      <c r="EN123" s="298"/>
      <c r="EO123" s="298"/>
      <c r="EP123" s="8"/>
      <c r="EQ123" s="298"/>
      <c r="ER123" s="298"/>
      <c r="ES123" s="298"/>
      <c r="ET123" s="298"/>
      <c r="EU123" s="8"/>
      <c r="EV123" s="154"/>
      <c r="EW123" s="154"/>
      <c r="EX123" s="154"/>
      <c r="EY123" s="154"/>
      <c r="EZ123" s="8"/>
      <c r="FA123" s="8"/>
    </row>
    <row r="124" spans="1:157" ht="17.399999999999999">
      <c r="A124" s="162"/>
      <c r="B124" s="307">
        <f t="array" ref="B124">IF(TRIM(A124)="",0,
   IFERROR(
      IF(INDEX($99:$99,1,MATCH(TRIM(A124),TRIM($1:$1),0))="",
         0,
         INDEX($99:$99,1,MATCH(TRIM(A124),TRIM($1:$1),0))
      ),
   0)
)</f>
        <v>0</v>
      </c>
      <c r="C124" s="301"/>
      <c r="D124" s="301"/>
      <c r="E124" s="162" t="str">
        <f t="shared" si="360"/>
        <v>0</v>
      </c>
      <c r="F124" s="299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57"/>
      <c r="AD124" s="157"/>
      <c r="AE124" s="157"/>
      <c r="AF124" s="157"/>
      <c r="AG124" s="157"/>
      <c r="AH124" s="157"/>
      <c r="AI124" s="157"/>
      <c r="AJ124" s="157"/>
      <c r="AK124" s="159"/>
      <c r="AL124" s="159"/>
      <c r="AM124" s="159"/>
      <c r="AN124" s="143"/>
      <c r="AO124" s="143"/>
      <c r="AP124" s="143"/>
      <c r="AQ124" s="143"/>
      <c r="AR124" s="143"/>
      <c r="AS124" s="159"/>
      <c r="AT124" s="159"/>
      <c r="AU124" s="159"/>
      <c r="AV124" s="159"/>
      <c r="AW124" s="159"/>
      <c r="AX124" s="159"/>
      <c r="AY124" s="159"/>
      <c r="AZ124" s="159"/>
      <c r="BA124" s="143"/>
      <c r="BB124" s="154"/>
      <c r="BC124" s="159"/>
      <c r="BD124" s="159"/>
      <c r="BE124" s="159"/>
      <c r="BF124" s="159"/>
      <c r="BG124" s="159"/>
      <c r="BH124" s="159"/>
      <c r="BI124" s="159"/>
      <c r="BJ124" s="154"/>
      <c r="BK124" s="154"/>
      <c r="BL124" s="154"/>
      <c r="BM124" s="154"/>
      <c r="BN124" s="154"/>
      <c r="BO124" s="154"/>
      <c r="BP124" s="154"/>
      <c r="BQ124" s="154"/>
      <c r="BR124" s="154"/>
      <c r="BS124" s="154"/>
      <c r="BT124" s="154"/>
      <c r="BU124" s="154"/>
      <c r="BV124" s="154"/>
      <c r="BW124" s="154"/>
      <c r="BX124" s="8"/>
      <c r="BY124" s="298"/>
      <c r="BZ124" s="298"/>
      <c r="CA124" s="298"/>
      <c r="CB124" s="298"/>
      <c r="CC124" s="298"/>
      <c r="CD124" s="298"/>
      <c r="CE124" s="298"/>
      <c r="CF124" s="298"/>
      <c r="CG124" s="298"/>
      <c r="CH124" s="298"/>
      <c r="CI124" s="298"/>
      <c r="CJ124" s="298"/>
      <c r="CK124" s="298"/>
      <c r="CL124" s="298"/>
      <c r="CM124" s="298"/>
      <c r="CN124" s="298"/>
      <c r="CO124" s="298"/>
      <c r="CP124" s="298"/>
      <c r="CQ124" s="298"/>
      <c r="CR124" s="298"/>
      <c r="CS124" s="298"/>
      <c r="CT124" s="298"/>
      <c r="CU124" s="298"/>
      <c r="CV124" s="298"/>
      <c r="CW124" s="298"/>
      <c r="CX124" s="298"/>
      <c r="CY124" s="298"/>
      <c r="CZ124" s="298"/>
      <c r="DA124" s="298"/>
      <c r="DB124" s="298"/>
      <c r="DC124" s="298"/>
      <c r="DD124" s="298"/>
      <c r="DE124" s="298"/>
      <c r="DF124" s="298"/>
      <c r="DG124" s="298"/>
      <c r="DH124" s="298"/>
      <c r="DI124" s="298"/>
      <c r="DJ124" s="298"/>
      <c r="DK124" s="298"/>
      <c r="DL124" s="298"/>
      <c r="DM124" s="298"/>
      <c r="DN124" s="298"/>
      <c r="DO124" s="298"/>
      <c r="DP124" s="298"/>
      <c r="DQ124" s="298"/>
      <c r="DR124" s="298"/>
      <c r="DS124" s="298"/>
      <c r="DT124" s="298"/>
      <c r="DU124" s="298"/>
      <c r="DV124" s="298"/>
      <c r="DW124" s="298"/>
      <c r="DX124" s="298"/>
      <c r="DY124" s="298"/>
      <c r="DZ124" s="298"/>
      <c r="EA124" s="8"/>
      <c r="EB124" s="298"/>
      <c r="EC124" s="298"/>
      <c r="ED124" s="298"/>
      <c r="EE124" s="298"/>
      <c r="EF124" s="8"/>
      <c r="EG124" s="298"/>
      <c r="EH124" s="298"/>
      <c r="EI124" s="298"/>
      <c r="EJ124" s="298"/>
      <c r="EK124" s="8"/>
      <c r="EL124" s="298"/>
      <c r="EM124" s="298"/>
      <c r="EN124" s="298"/>
      <c r="EO124" s="298"/>
      <c r="EP124" s="8"/>
      <c r="EQ124" s="298"/>
      <c r="ER124" s="298"/>
      <c r="ES124" s="298"/>
      <c r="ET124" s="298"/>
      <c r="EU124" s="8"/>
      <c r="EV124" s="154"/>
      <c r="EW124" s="154"/>
      <c r="EX124" s="154"/>
      <c r="EY124" s="154"/>
      <c r="EZ124" s="8"/>
      <c r="FA124" s="8"/>
    </row>
    <row r="125" spans="1:157" ht="17.399999999999999">
      <c r="A125" s="161"/>
      <c r="B125" s="308">
        <f t="array" ref="B125">IF(TRIM(A125)="",0,
   IFERROR(
      IF(INDEX($99:$99,1,MATCH(TRIM(A125),TRIM($1:$1),0))="",
         0,
         INDEX($99:$99,1,MATCH(TRIM(A125),TRIM($1:$1),0))
      ),
   0)
)</f>
        <v>0</v>
      </c>
      <c r="C125" s="301"/>
      <c r="D125" s="301"/>
      <c r="E125" s="161" t="str">
        <f t="shared" si="360"/>
        <v>0</v>
      </c>
      <c r="F125" s="299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57"/>
      <c r="AD125" s="157"/>
      <c r="AE125" s="157"/>
      <c r="AF125" s="157"/>
      <c r="AG125" s="157"/>
      <c r="AH125" s="157"/>
      <c r="AI125" s="157"/>
      <c r="AJ125" s="157"/>
      <c r="AK125" s="159"/>
      <c r="AL125" s="159"/>
      <c r="AM125" s="159"/>
      <c r="AN125" s="143"/>
      <c r="AO125" s="143"/>
      <c r="AP125" s="143"/>
      <c r="AQ125" s="143"/>
      <c r="AR125" s="143"/>
      <c r="AS125" s="159"/>
      <c r="AT125" s="159"/>
      <c r="AU125" s="159"/>
      <c r="AV125" s="159"/>
      <c r="AW125" s="159"/>
      <c r="AX125" s="159"/>
      <c r="AY125" s="159"/>
      <c r="AZ125" s="159"/>
      <c r="BA125" s="143"/>
      <c r="BB125" s="154"/>
      <c r="BC125" s="159"/>
      <c r="BD125" s="159"/>
      <c r="BE125" s="159"/>
      <c r="BF125" s="159"/>
      <c r="BG125" s="159"/>
      <c r="BH125" s="159"/>
      <c r="BI125" s="159"/>
      <c r="BJ125" s="154"/>
      <c r="BK125" s="154"/>
      <c r="BL125" s="154"/>
      <c r="BM125" s="154"/>
      <c r="BN125" s="154"/>
      <c r="BO125" s="154"/>
      <c r="BP125" s="154"/>
      <c r="BQ125" s="154"/>
      <c r="BR125" s="154"/>
      <c r="BS125" s="154"/>
      <c r="BT125" s="154"/>
      <c r="BU125" s="154"/>
      <c r="BV125" s="154"/>
      <c r="BW125" s="154"/>
      <c r="BX125" s="8"/>
      <c r="BY125" s="298"/>
      <c r="BZ125" s="298"/>
      <c r="CA125" s="298"/>
      <c r="CB125" s="298"/>
      <c r="CC125" s="298"/>
      <c r="CD125" s="298"/>
      <c r="CE125" s="298"/>
      <c r="CF125" s="298"/>
      <c r="CG125" s="298"/>
      <c r="CH125" s="298"/>
      <c r="CI125" s="298"/>
      <c r="CJ125" s="298"/>
      <c r="CK125" s="298"/>
      <c r="CL125" s="298"/>
      <c r="CM125" s="298"/>
      <c r="CN125" s="298"/>
      <c r="CO125" s="298"/>
      <c r="CP125" s="298"/>
      <c r="CQ125" s="298"/>
      <c r="CR125" s="298"/>
      <c r="CS125" s="298"/>
      <c r="CT125" s="298"/>
      <c r="CU125" s="298"/>
      <c r="CV125" s="298"/>
      <c r="CW125" s="298"/>
      <c r="CX125" s="298"/>
      <c r="CY125" s="298"/>
      <c r="CZ125" s="298"/>
      <c r="DA125" s="298"/>
      <c r="DB125" s="298"/>
      <c r="DC125" s="298"/>
      <c r="DD125" s="298"/>
      <c r="DE125" s="298"/>
      <c r="DF125" s="298"/>
      <c r="DG125" s="298"/>
      <c r="DH125" s="298"/>
      <c r="DI125" s="298"/>
      <c r="DJ125" s="298"/>
      <c r="DK125" s="298"/>
      <c r="DL125" s="298"/>
      <c r="DM125" s="298"/>
      <c r="DN125" s="298"/>
      <c r="DO125" s="298"/>
      <c r="DP125" s="298"/>
      <c r="DQ125" s="298"/>
      <c r="DR125" s="298"/>
      <c r="DS125" s="298"/>
      <c r="DT125" s="298"/>
      <c r="DU125" s="298"/>
      <c r="DV125" s="298"/>
      <c r="DW125" s="298"/>
      <c r="DX125" s="298"/>
      <c r="DY125" s="298"/>
      <c r="DZ125" s="298"/>
      <c r="EA125" s="8"/>
      <c r="EB125" s="298"/>
      <c r="EC125" s="298"/>
      <c r="ED125" s="298"/>
      <c r="EE125" s="298"/>
      <c r="EF125" s="8"/>
      <c r="EG125" s="298"/>
      <c r="EH125" s="298"/>
      <c r="EI125" s="298"/>
      <c r="EJ125" s="298"/>
      <c r="EK125" s="8"/>
      <c r="EL125" s="298"/>
      <c r="EM125" s="298"/>
      <c r="EN125" s="298"/>
      <c r="EO125" s="298"/>
      <c r="EP125" s="8"/>
      <c r="EQ125" s="298"/>
      <c r="ER125" s="298"/>
      <c r="ES125" s="298"/>
      <c r="ET125" s="298"/>
      <c r="EU125" s="8"/>
      <c r="EV125" s="154"/>
      <c r="EW125" s="154"/>
      <c r="EX125" s="154"/>
      <c r="EY125" s="154"/>
      <c r="EZ125" s="8"/>
      <c r="FA125" s="8"/>
    </row>
    <row r="126" spans="1:157" ht="17.399999999999999">
      <c r="A126" s="162"/>
      <c r="B126" s="307">
        <f t="array" ref="B126">IF(TRIM(A126)="",0,
   IFERROR(
      IF(INDEX($99:$99,1,MATCH(TRIM(A126),TRIM($1:$1),0))="",
         0,
         INDEX($99:$99,1,MATCH(TRIM(A126),TRIM($1:$1),0))
      ),
   0)
)</f>
        <v>0</v>
      </c>
      <c r="C126" s="301"/>
      <c r="D126" s="301"/>
      <c r="E126" s="162" t="str">
        <f t="shared" si="360"/>
        <v>0</v>
      </c>
      <c r="F126" s="299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57"/>
      <c r="AD126" s="157"/>
      <c r="AE126" s="157"/>
      <c r="AF126" s="157"/>
      <c r="AG126" s="157"/>
      <c r="AH126" s="157"/>
      <c r="AI126" s="157"/>
      <c r="AJ126" s="157"/>
      <c r="AK126" s="159"/>
      <c r="AL126" s="159"/>
      <c r="AM126" s="159"/>
      <c r="AN126" s="143"/>
      <c r="AO126" s="143"/>
      <c r="AP126" s="143"/>
      <c r="AQ126" s="143"/>
      <c r="AR126" s="143"/>
      <c r="AS126" s="159"/>
      <c r="AT126" s="159"/>
      <c r="AU126" s="159"/>
      <c r="AV126" s="159"/>
      <c r="AW126" s="159"/>
      <c r="AX126" s="159"/>
      <c r="AY126" s="159"/>
      <c r="AZ126" s="159"/>
      <c r="BA126" s="143"/>
      <c r="BB126" s="154"/>
      <c r="BC126" s="159"/>
      <c r="BD126" s="159"/>
      <c r="BE126" s="159"/>
      <c r="BF126" s="159"/>
      <c r="BG126" s="159"/>
      <c r="BH126" s="159"/>
      <c r="BI126" s="159"/>
      <c r="BJ126" s="154"/>
      <c r="BK126" s="154"/>
      <c r="BL126" s="154"/>
      <c r="BM126" s="154"/>
      <c r="BN126" s="154"/>
      <c r="BO126" s="154"/>
      <c r="BP126" s="154"/>
      <c r="BQ126" s="154"/>
      <c r="BR126" s="154"/>
      <c r="BS126" s="154"/>
      <c r="BT126" s="154"/>
      <c r="BU126" s="154"/>
      <c r="BV126" s="154"/>
      <c r="BW126" s="154"/>
      <c r="BX126" s="8"/>
      <c r="BY126" s="298"/>
      <c r="BZ126" s="298"/>
      <c r="CA126" s="298"/>
      <c r="CB126" s="298"/>
      <c r="CC126" s="298"/>
      <c r="CD126" s="298"/>
      <c r="CE126" s="298"/>
      <c r="CF126" s="298"/>
      <c r="CG126" s="298"/>
      <c r="CH126" s="298"/>
      <c r="CI126" s="298"/>
      <c r="CJ126" s="298"/>
      <c r="CK126" s="298"/>
      <c r="CL126" s="298"/>
      <c r="CM126" s="298"/>
      <c r="CN126" s="298"/>
      <c r="CO126" s="298"/>
      <c r="CP126" s="298"/>
      <c r="CQ126" s="298"/>
      <c r="CR126" s="298"/>
      <c r="CS126" s="298"/>
      <c r="CT126" s="298"/>
      <c r="CU126" s="298"/>
      <c r="CV126" s="298"/>
      <c r="CW126" s="298"/>
      <c r="CX126" s="298"/>
      <c r="CY126" s="298"/>
      <c r="CZ126" s="298"/>
      <c r="DA126" s="298"/>
      <c r="DB126" s="298"/>
      <c r="DC126" s="298"/>
      <c r="DD126" s="298"/>
      <c r="DE126" s="298"/>
      <c r="DF126" s="298"/>
      <c r="DG126" s="298"/>
      <c r="DH126" s="298"/>
      <c r="DI126" s="298"/>
      <c r="DJ126" s="298"/>
      <c r="DK126" s="298"/>
      <c r="DL126" s="298"/>
      <c r="DM126" s="298"/>
      <c r="DN126" s="298"/>
      <c r="DO126" s="298"/>
      <c r="DP126" s="298"/>
      <c r="DQ126" s="298"/>
      <c r="DR126" s="298"/>
      <c r="DS126" s="298"/>
      <c r="DT126" s="298"/>
      <c r="DU126" s="298"/>
      <c r="DV126" s="298"/>
      <c r="DW126" s="298"/>
      <c r="DX126" s="298"/>
      <c r="DY126" s="298"/>
      <c r="DZ126" s="298"/>
      <c r="EA126" s="8"/>
      <c r="EB126" s="298"/>
      <c r="EC126" s="298"/>
      <c r="ED126" s="298"/>
      <c r="EE126" s="298"/>
      <c r="EF126" s="8"/>
      <c r="EG126" s="298"/>
      <c r="EH126" s="298"/>
      <c r="EI126" s="298"/>
      <c r="EJ126" s="298"/>
      <c r="EK126" s="8"/>
      <c r="EL126" s="298"/>
      <c r="EM126" s="298"/>
      <c r="EN126" s="298"/>
      <c r="EO126" s="298"/>
      <c r="EP126" s="8"/>
      <c r="EQ126" s="298"/>
      <c r="ER126" s="298"/>
      <c r="ES126" s="298"/>
      <c r="ET126" s="298"/>
      <c r="EU126" s="8"/>
      <c r="EV126" s="154"/>
      <c r="EW126" s="154"/>
      <c r="EX126" s="154"/>
      <c r="EY126" s="154"/>
      <c r="EZ126" s="8"/>
      <c r="FA126" s="8"/>
    </row>
    <row r="127" spans="1:157" ht="17.399999999999999">
      <c r="A127" s="161"/>
      <c r="B127" s="308">
        <f t="array" ref="B127">IF(TRIM(A127)="",0,
   IFERROR(
      IF(INDEX($99:$99,1,MATCH(TRIM(A127),TRIM($1:$1),0))="",
         0,
         INDEX($99:$99,1,MATCH(TRIM(A127),TRIM($1:$1),0))
      ),
   0)
)</f>
        <v>0</v>
      </c>
      <c r="C127" s="301"/>
      <c r="D127" s="301"/>
      <c r="E127" s="161" t="str">
        <f t="shared" si="360"/>
        <v>0</v>
      </c>
      <c r="F127" s="299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57"/>
      <c r="AD127" s="157"/>
      <c r="AE127" s="157"/>
      <c r="AF127" s="157"/>
      <c r="AG127" s="157"/>
      <c r="AH127" s="157"/>
      <c r="AI127" s="157"/>
      <c r="AJ127" s="157"/>
      <c r="AK127" s="159"/>
      <c r="AL127" s="159"/>
      <c r="AM127" s="159"/>
      <c r="AN127" s="143"/>
      <c r="AO127" s="143"/>
      <c r="AP127" s="143"/>
      <c r="AQ127" s="143"/>
      <c r="AR127" s="143"/>
      <c r="AS127" s="159"/>
      <c r="AT127" s="159"/>
      <c r="AU127" s="159"/>
      <c r="AV127" s="159"/>
      <c r="AW127" s="159"/>
      <c r="AX127" s="159"/>
      <c r="AY127" s="159"/>
      <c r="AZ127" s="159"/>
      <c r="BA127" s="143"/>
      <c r="BB127" s="154"/>
      <c r="BC127" s="159"/>
      <c r="BD127" s="159"/>
      <c r="BE127" s="159"/>
      <c r="BF127" s="159"/>
      <c r="BG127" s="159"/>
      <c r="BH127" s="159"/>
      <c r="BI127" s="159"/>
      <c r="BJ127" s="154"/>
      <c r="BK127" s="154"/>
      <c r="BL127" s="154"/>
      <c r="BM127" s="154"/>
      <c r="BN127" s="154"/>
      <c r="BO127" s="154"/>
      <c r="BP127" s="154"/>
      <c r="BQ127" s="154"/>
      <c r="BR127" s="154"/>
      <c r="BS127" s="154"/>
      <c r="BT127" s="154"/>
      <c r="BU127" s="154"/>
      <c r="BV127" s="154"/>
      <c r="BW127" s="154"/>
      <c r="BX127" s="8"/>
      <c r="BY127" s="298"/>
      <c r="BZ127" s="298"/>
      <c r="CA127" s="298"/>
      <c r="CB127" s="298"/>
      <c r="CC127" s="298"/>
      <c r="CD127" s="298"/>
      <c r="CE127" s="298"/>
      <c r="CF127" s="298"/>
      <c r="CG127" s="298"/>
      <c r="CH127" s="298"/>
      <c r="CI127" s="298"/>
      <c r="CJ127" s="298"/>
      <c r="CK127" s="298"/>
      <c r="CL127" s="298"/>
      <c r="CM127" s="298"/>
      <c r="CN127" s="298"/>
      <c r="CO127" s="298"/>
      <c r="CP127" s="298"/>
      <c r="CQ127" s="298"/>
      <c r="CR127" s="298"/>
      <c r="CS127" s="298"/>
      <c r="CT127" s="298"/>
      <c r="CU127" s="298"/>
      <c r="CV127" s="298"/>
      <c r="CW127" s="298"/>
      <c r="CX127" s="298"/>
      <c r="CY127" s="298"/>
      <c r="CZ127" s="298"/>
      <c r="DA127" s="298"/>
      <c r="DB127" s="298"/>
      <c r="DC127" s="298"/>
      <c r="DD127" s="298"/>
      <c r="DE127" s="298"/>
      <c r="DF127" s="298"/>
      <c r="DG127" s="298"/>
      <c r="DH127" s="298"/>
      <c r="DI127" s="298"/>
      <c r="DJ127" s="298"/>
      <c r="DK127" s="298"/>
      <c r="DL127" s="298"/>
      <c r="DM127" s="298"/>
      <c r="DN127" s="298"/>
      <c r="DO127" s="298"/>
      <c r="DP127" s="298"/>
      <c r="DQ127" s="298"/>
      <c r="DR127" s="298"/>
      <c r="DS127" s="298"/>
      <c r="DT127" s="298"/>
      <c r="DU127" s="298"/>
      <c r="DV127" s="298"/>
      <c r="DW127" s="298"/>
      <c r="DX127" s="298"/>
      <c r="DY127" s="298"/>
      <c r="DZ127" s="298"/>
      <c r="EA127" s="8"/>
      <c r="EB127" s="298"/>
      <c r="EC127" s="298"/>
      <c r="ED127" s="298"/>
      <c r="EE127" s="298"/>
      <c r="EF127" s="8"/>
      <c r="EG127" s="298"/>
      <c r="EH127" s="298"/>
      <c r="EI127" s="298"/>
      <c r="EJ127" s="298"/>
      <c r="EK127" s="8"/>
      <c r="EL127" s="298"/>
      <c r="EM127" s="298"/>
      <c r="EN127" s="298"/>
      <c r="EO127" s="298"/>
      <c r="EP127" s="8"/>
      <c r="EQ127" s="298"/>
      <c r="ER127" s="298"/>
      <c r="ES127" s="298"/>
      <c r="ET127" s="298"/>
      <c r="EU127" s="8"/>
      <c r="EV127" s="154"/>
      <c r="EW127" s="154"/>
      <c r="EX127" s="154"/>
      <c r="EY127" s="154"/>
      <c r="EZ127" s="8"/>
      <c r="FA127" s="8"/>
    </row>
    <row r="128" spans="1:157" ht="17.399999999999999">
      <c r="A128" s="162"/>
      <c r="B128" s="307">
        <f t="array" ref="B128">IF(TRIM(A128)="",0,
   IFERROR(
      IF(INDEX($99:$99,1,MATCH(TRIM(A128),TRIM($1:$1),0))="",
         0,
         INDEX($99:$99,1,MATCH(TRIM(A128),TRIM($1:$1),0))
      ),
   0)
)</f>
        <v>0</v>
      </c>
      <c r="C128" s="301"/>
      <c r="D128" s="301"/>
      <c r="E128" s="162" t="str">
        <f t="shared" si="360"/>
        <v>0</v>
      </c>
      <c r="F128" s="299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57"/>
      <c r="AD128" s="157"/>
      <c r="AE128" s="157"/>
      <c r="AF128" s="157"/>
      <c r="AG128" s="157"/>
      <c r="AH128" s="157"/>
      <c r="AI128" s="157"/>
      <c r="AJ128" s="157"/>
      <c r="AK128" s="159"/>
      <c r="AL128" s="159"/>
      <c r="AM128" s="159"/>
      <c r="AN128" s="143"/>
      <c r="AO128" s="143"/>
      <c r="AP128" s="143"/>
      <c r="AQ128" s="143"/>
      <c r="AR128" s="143"/>
      <c r="AS128" s="159"/>
      <c r="AT128" s="159"/>
      <c r="AU128" s="159"/>
      <c r="AV128" s="159"/>
      <c r="AW128" s="159"/>
      <c r="AX128" s="159"/>
      <c r="AY128" s="159"/>
      <c r="AZ128" s="159"/>
      <c r="BA128" s="143"/>
      <c r="BB128" s="154"/>
      <c r="BC128" s="159"/>
      <c r="BD128" s="159"/>
      <c r="BE128" s="159"/>
      <c r="BF128" s="159"/>
      <c r="BG128" s="159"/>
      <c r="BH128" s="159"/>
      <c r="BI128" s="159"/>
      <c r="BJ128" s="154"/>
      <c r="BK128" s="154"/>
      <c r="BL128" s="154"/>
      <c r="BM128" s="154"/>
      <c r="BN128" s="154"/>
      <c r="BO128" s="154"/>
      <c r="BP128" s="154"/>
      <c r="BQ128" s="154"/>
      <c r="BR128" s="154"/>
      <c r="BS128" s="154"/>
      <c r="BT128" s="154"/>
      <c r="BU128" s="154"/>
      <c r="BV128" s="154"/>
      <c r="BW128" s="154"/>
      <c r="BX128" s="8"/>
      <c r="BY128" s="298"/>
      <c r="BZ128" s="298"/>
      <c r="CA128" s="298"/>
      <c r="CB128" s="298"/>
      <c r="CC128" s="298"/>
      <c r="CD128" s="298"/>
      <c r="CE128" s="298"/>
      <c r="CF128" s="298"/>
      <c r="CG128" s="298"/>
      <c r="CH128" s="298"/>
      <c r="CI128" s="298"/>
      <c r="CJ128" s="298"/>
      <c r="CK128" s="298"/>
      <c r="CL128" s="298"/>
      <c r="CM128" s="298"/>
      <c r="CN128" s="298"/>
      <c r="CO128" s="298"/>
      <c r="CP128" s="298"/>
      <c r="CQ128" s="298"/>
      <c r="CR128" s="298"/>
      <c r="CS128" s="298"/>
      <c r="CT128" s="298"/>
      <c r="CU128" s="298"/>
      <c r="CV128" s="298"/>
      <c r="CW128" s="298"/>
      <c r="CX128" s="298"/>
      <c r="CY128" s="298"/>
      <c r="CZ128" s="298"/>
      <c r="DA128" s="298"/>
      <c r="DB128" s="298"/>
      <c r="DC128" s="298"/>
      <c r="DD128" s="298"/>
      <c r="DE128" s="298"/>
      <c r="DF128" s="298"/>
      <c r="DG128" s="298"/>
      <c r="DH128" s="298"/>
      <c r="DI128" s="298"/>
      <c r="DJ128" s="298"/>
      <c r="DK128" s="298"/>
      <c r="DL128" s="298"/>
      <c r="DM128" s="298"/>
      <c r="DN128" s="298"/>
      <c r="DO128" s="298"/>
      <c r="DP128" s="298"/>
      <c r="DQ128" s="298"/>
      <c r="DR128" s="298"/>
      <c r="DS128" s="298"/>
      <c r="DT128" s="298"/>
      <c r="DU128" s="298"/>
      <c r="DV128" s="298"/>
      <c r="DW128" s="298"/>
      <c r="DX128" s="298"/>
      <c r="DY128" s="298"/>
      <c r="DZ128" s="298"/>
      <c r="EA128" s="8"/>
      <c r="EB128" s="298"/>
      <c r="EC128" s="298"/>
      <c r="ED128" s="298"/>
      <c r="EE128" s="298"/>
      <c r="EF128" s="8"/>
      <c r="EG128" s="298"/>
      <c r="EH128" s="298"/>
      <c r="EI128" s="298"/>
      <c r="EJ128" s="298"/>
      <c r="EK128" s="8"/>
      <c r="EL128" s="298"/>
      <c r="EM128" s="298"/>
      <c r="EN128" s="298"/>
      <c r="EO128" s="298"/>
      <c r="EP128" s="8"/>
      <c r="EQ128" s="298"/>
      <c r="ER128" s="298"/>
      <c r="ES128" s="298"/>
      <c r="ET128" s="298"/>
      <c r="EU128" s="8"/>
      <c r="EV128" s="154"/>
      <c r="EW128" s="154"/>
      <c r="EX128" s="154"/>
      <c r="EY128" s="154"/>
      <c r="EZ128" s="8"/>
      <c r="FA128" s="8"/>
    </row>
    <row r="129" spans="1:157" ht="17.399999999999999">
      <c r="A129" s="161"/>
      <c r="B129" s="308">
        <f t="array" ref="B129">IF(TRIM(A129)="",0,
   IFERROR(
      IF(INDEX($99:$99,1,MATCH(TRIM(A129),TRIM($1:$1),0))="",
         0,
         INDEX($99:$99,1,MATCH(TRIM(A129),TRIM($1:$1),0))
      ),
   0)
)</f>
        <v>0</v>
      </c>
      <c r="C129" s="301"/>
      <c r="D129" s="301"/>
      <c r="E129" s="161" t="str">
        <f t="shared" si="360"/>
        <v>0</v>
      </c>
      <c r="F129" s="299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57"/>
      <c r="AD129" s="157"/>
      <c r="AE129" s="157"/>
      <c r="AF129" s="157"/>
      <c r="AG129" s="157"/>
      <c r="AH129" s="157"/>
      <c r="AI129" s="157"/>
      <c r="AJ129" s="157"/>
      <c r="AK129" s="159"/>
      <c r="AL129" s="159"/>
      <c r="AM129" s="159"/>
      <c r="AN129" s="143"/>
      <c r="AO129" s="143"/>
      <c r="AP129" s="143"/>
      <c r="AQ129" s="143"/>
      <c r="AR129" s="143"/>
      <c r="AS129" s="159"/>
      <c r="AT129" s="159"/>
      <c r="AU129" s="159"/>
      <c r="AV129" s="159"/>
      <c r="AW129" s="159"/>
      <c r="AX129" s="159"/>
      <c r="AY129" s="159"/>
      <c r="AZ129" s="159"/>
      <c r="BA129" s="143"/>
      <c r="BB129" s="154"/>
      <c r="BC129" s="159"/>
      <c r="BD129" s="159"/>
      <c r="BE129" s="159"/>
      <c r="BF129" s="159"/>
      <c r="BG129" s="159"/>
      <c r="BH129" s="159"/>
      <c r="BI129" s="159"/>
      <c r="BJ129" s="154"/>
      <c r="BK129" s="154"/>
      <c r="BL129" s="154"/>
      <c r="BM129" s="154"/>
      <c r="BN129" s="154"/>
      <c r="BO129" s="154"/>
      <c r="BP129" s="154"/>
      <c r="BQ129" s="154"/>
      <c r="BR129" s="154"/>
      <c r="BS129" s="154"/>
      <c r="BT129" s="154"/>
      <c r="BU129" s="154"/>
      <c r="BV129" s="154"/>
      <c r="BW129" s="154"/>
      <c r="BX129" s="8"/>
      <c r="BY129" s="298"/>
      <c r="BZ129" s="298"/>
      <c r="CA129" s="298"/>
      <c r="CB129" s="298"/>
      <c r="CC129" s="298"/>
      <c r="CD129" s="298"/>
      <c r="CE129" s="298"/>
      <c r="CF129" s="298"/>
      <c r="CG129" s="298"/>
      <c r="CH129" s="298"/>
      <c r="CI129" s="298"/>
      <c r="CJ129" s="298"/>
      <c r="CK129" s="298"/>
      <c r="CL129" s="298"/>
      <c r="CM129" s="298"/>
      <c r="CN129" s="298"/>
      <c r="CO129" s="298"/>
      <c r="CP129" s="298"/>
      <c r="CQ129" s="298"/>
      <c r="CR129" s="298"/>
      <c r="CS129" s="298"/>
      <c r="CT129" s="298"/>
      <c r="CU129" s="298"/>
      <c r="CV129" s="298"/>
      <c r="CW129" s="298"/>
      <c r="CX129" s="298"/>
      <c r="CY129" s="298"/>
      <c r="CZ129" s="298"/>
      <c r="DA129" s="298"/>
      <c r="DB129" s="298"/>
      <c r="DC129" s="298"/>
      <c r="DD129" s="298"/>
      <c r="DE129" s="298"/>
      <c r="DF129" s="298"/>
      <c r="DG129" s="298"/>
      <c r="DH129" s="298"/>
      <c r="DI129" s="298"/>
      <c r="DJ129" s="298"/>
      <c r="DK129" s="298"/>
      <c r="DL129" s="298"/>
      <c r="DM129" s="298"/>
      <c r="DN129" s="298"/>
      <c r="DO129" s="298"/>
      <c r="DP129" s="298"/>
      <c r="DQ129" s="298"/>
      <c r="DR129" s="298"/>
      <c r="DS129" s="298"/>
      <c r="DT129" s="298"/>
      <c r="DU129" s="298"/>
      <c r="DV129" s="298"/>
      <c r="DW129" s="298"/>
      <c r="DX129" s="298"/>
      <c r="DY129" s="298"/>
      <c r="DZ129" s="298"/>
      <c r="EA129" s="8"/>
      <c r="EB129" s="298"/>
      <c r="EC129" s="298"/>
      <c r="ED129" s="298"/>
      <c r="EE129" s="298"/>
      <c r="EF129" s="8"/>
      <c r="EG129" s="298"/>
      <c r="EH129" s="298"/>
      <c r="EI129" s="298"/>
      <c r="EJ129" s="298"/>
      <c r="EK129" s="8"/>
      <c r="EL129" s="298"/>
      <c r="EM129" s="298"/>
      <c r="EN129" s="298"/>
      <c r="EO129" s="298"/>
      <c r="EP129" s="8"/>
      <c r="EQ129" s="298"/>
      <c r="ER129" s="298"/>
      <c r="ES129" s="298"/>
      <c r="ET129" s="298"/>
      <c r="EU129" s="8"/>
      <c r="EV129" s="154"/>
      <c r="EW129" s="154"/>
      <c r="EX129" s="154"/>
      <c r="EY129" s="154"/>
      <c r="EZ129" s="8"/>
      <c r="FA129" s="8"/>
    </row>
    <row r="130" spans="1:157" ht="17.399999999999999">
      <c r="A130" s="162"/>
      <c r="B130" s="307">
        <f t="array" ref="B130">IF(TRIM(A130)="",0,
   IFERROR(
      IF(INDEX($99:$99,1,MATCH(TRIM(A130),TRIM($1:$1),0))="",
         0,
         INDEX($99:$99,1,MATCH(TRIM(A130),TRIM($1:$1),0))
      ),
   0)
)</f>
        <v>0</v>
      </c>
      <c r="C130" s="301"/>
      <c r="D130" s="301"/>
      <c r="E130" s="162" t="str">
        <f t="shared" si="360"/>
        <v>0</v>
      </c>
      <c r="F130" s="299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57"/>
      <c r="AD130" s="157"/>
      <c r="AE130" s="157"/>
      <c r="AF130" s="157"/>
      <c r="AG130" s="157"/>
      <c r="AH130" s="157"/>
      <c r="AI130" s="157"/>
      <c r="AJ130" s="157"/>
      <c r="AK130" s="159"/>
      <c r="AL130" s="159"/>
      <c r="AM130" s="159"/>
      <c r="AN130" s="143"/>
      <c r="AO130" s="143"/>
      <c r="AP130" s="143"/>
      <c r="AQ130" s="143"/>
      <c r="AR130" s="143"/>
      <c r="AS130" s="159"/>
      <c r="AT130" s="159"/>
      <c r="AU130" s="159"/>
      <c r="AV130" s="159"/>
      <c r="AW130" s="159"/>
      <c r="AX130" s="159"/>
      <c r="AY130" s="159"/>
      <c r="AZ130" s="159"/>
      <c r="BA130" s="143"/>
      <c r="BB130" s="154"/>
      <c r="BC130" s="159"/>
      <c r="BD130" s="159"/>
      <c r="BE130" s="159"/>
      <c r="BF130" s="159"/>
      <c r="BG130" s="159"/>
      <c r="BH130" s="159"/>
      <c r="BI130" s="159"/>
      <c r="BJ130" s="154"/>
      <c r="BK130" s="154"/>
      <c r="BL130" s="154"/>
      <c r="BM130" s="154"/>
      <c r="BN130" s="154"/>
      <c r="BO130" s="154"/>
      <c r="BP130" s="154"/>
      <c r="BQ130" s="154"/>
      <c r="BR130" s="154"/>
      <c r="BS130" s="154"/>
      <c r="BT130" s="154"/>
      <c r="BU130" s="154"/>
      <c r="BV130" s="154"/>
      <c r="BW130" s="154"/>
      <c r="BX130" s="8"/>
      <c r="BY130" s="298"/>
      <c r="BZ130" s="298"/>
      <c r="CA130" s="298"/>
      <c r="CB130" s="298"/>
      <c r="CC130" s="298"/>
      <c r="CD130" s="298"/>
      <c r="CE130" s="298"/>
      <c r="CF130" s="298"/>
      <c r="CG130" s="298"/>
      <c r="CH130" s="298"/>
      <c r="CI130" s="298"/>
      <c r="CJ130" s="298"/>
      <c r="CK130" s="298"/>
      <c r="CL130" s="298"/>
      <c r="CM130" s="298"/>
      <c r="CN130" s="298"/>
      <c r="CO130" s="298"/>
      <c r="CP130" s="298"/>
      <c r="CQ130" s="298"/>
      <c r="CR130" s="298"/>
      <c r="CS130" s="298"/>
      <c r="CT130" s="298"/>
      <c r="CU130" s="298"/>
      <c r="CV130" s="298"/>
      <c r="CW130" s="298"/>
      <c r="CX130" s="298"/>
      <c r="CY130" s="298"/>
      <c r="CZ130" s="298"/>
      <c r="DA130" s="298"/>
      <c r="DB130" s="298"/>
      <c r="DC130" s="298"/>
      <c r="DD130" s="298"/>
      <c r="DE130" s="298"/>
      <c r="DF130" s="298"/>
      <c r="DG130" s="298"/>
      <c r="DH130" s="298"/>
      <c r="DI130" s="298"/>
      <c r="DJ130" s="298"/>
      <c r="DK130" s="298"/>
      <c r="DL130" s="298"/>
      <c r="DM130" s="298"/>
      <c r="DN130" s="298"/>
      <c r="DO130" s="298"/>
      <c r="DP130" s="298"/>
      <c r="DQ130" s="298"/>
      <c r="DR130" s="298"/>
      <c r="DS130" s="298"/>
      <c r="DT130" s="298"/>
      <c r="DU130" s="298"/>
      <c r="DV130" s="298"/>
      <c r="DW130" s="298"/>
      <c r="DX130" s="298"/>
      <c r="DY130" s="298"/>
      <c r="DZ130" s="298"/>
      <c r="EA130" s="8"/>
      <c r="EB130" s="298"/>
      <c r="EC130" s="298"/>
      <c r="ED130" s="298"/>
      <c r="EE130" s="298"/>
      <c r="EF130" s="8"/>
      <c r="EG130" s="298"/>
      <c r="EH130" s="298"/>
      <c r="EI130" s="298"/>
      <c r="EJ130" s="298"/>
      <c r="EK130" s="8"/>
      <c r="EL130" s="298"/>
      <c r="EM130" s="298"/>
      <c r="EN130" s="298"/>
      <c r="EO130" s="298"/>
      <c r="EP130" s="8"/>
      <c r="EQ130" s="298"/>
      <c r="ER130" s="298"/>
      <c r="ES130" s="298"/>
      <c r="ET130" s="298"/>
      <c r="EU130" s="8"/>
      <c r="EV130" s="154"/>
      <c r="EW130" s="154"/>
      <c r="EX130" s="154"/>
      <c r="EY130" s="154"/>
      <c r="EZ130" s="8"/>
      <c r="FA130" s="8"/>
    </row>
    <row r="131" spans="1:157" ht="17.399999999999999">
      <c r="A131" s="161"/>
      <c r="B131" s="308">
        <f t="array" ref="B131">IF(TRIM(A131)="",0,
   IFERROR(
      IF(INDEX($99:$99,1,MATCH(TRIM(A131),TRIM($1:$1),0))="",
         0,
         INDEX($99:$99,1,MATCH(TRIM(A131),TRIM($1:$1),0))
      ),
   0)
)</f>
        <v>0</v>
      </c>
      <c r="C131" s="301"/>
      <c r="D131" s="301"/>
      <c r="E131" s="161" t="str">
        <f t="shared" si="360"/>
        <v>0</v>
      </c>
      <c r="F131" s="299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57"/>
      <c r="AD131" s="157"/>
      <c r="AE131" s="157"/>
      <c r="AF131" s="157"/>
      <c r="AG131" s="157"/>
      <c r="AH131" s="157"/>
      <c r="AI131" s="157"/>
      <c r="AJ131" s="157"/>
      <c r="AK131" s="159"/>
      <c r="AL131" s="159"/>
      <c r="AM131" s="159"/>
      <c r="AN131" s="143"/>
      <c r="AO131" s="143"/>
      <c r="AP131" s="143"/>
      <c r="AQ131" s="143"/>
      <c r="AR131" s="143"/>
      <c r="AS131" s="159"/>
      <c r="AT131" s="159"/>
      <c r="AU131" s="159"/>
      <c r="AV131" s="159"/>
      <c r="AW131" s="159"/>
      <c r="AX131" s="159"/>
      <c r="AY131" s="159"/>
      <c r="AZ131" s="159"/>
      <c r="BA131" s="143"/>
      <c r="BB131" s="154"/>
      <c r="BC131" s="159"/>
      <c r="BD131" s="159"/>
      <c r="BE131" s="159"/>
      <c r="BF131" s="159"/>
      <c r="BG131" s="159"/>
      <c r="BH131" s="159"/>
      <c r="BI131" s="159"/>
      <c r="BJ131" s="154"/>
      <c r="BK131" s="154"/>
      <c r="BL131" s="154"/>
      <c r="BM131" s="154"/>
      <c r="BN131" s="154"/>
      <c r="BO131" s="154"/>
      <c r="BP131" s="154"/>
      <c r="BQ131" s="154"/>
      <c r="BR131" s="154"/>
      <c r="BS131" s="154"/>
      <c r="BT131" s="154"/>
      <c r="BU131" s="154"/>
      <c r="BV131" s="154"/>
      <c r="BW131" s="154"/>
      <c r="BX131" s="8"/>
      <c r="BY131" s="298"/>
      <c r="BZ131" s="298"/>
      <c r="CA131" s="298"/>
      <c r="CB131" s="298"/>
      <c r="CC131" s="298"/>
      <c r="CD131" s="298"/>
      <c r="CE131" s="298"/>
      <c r="CF131" s="298"/>
      <c r="CG131" s="298"/>
      <c r="CH131" s="298"/>
      <c r="CI131" s="298"/>
      <c r="CJ131" s="298"/>
      <c r="CK131" s="298"/>
      <c r="CL131" s="298"/>
      <c r="CM131" s="298"/>
      <c r="CN131" s="298"/>
      <c r="CO131" s="298"/>
      <c r="CP131" s="298"/>
      <c r="CQ131" s="298"/>
      <c r="CR131" s="298"/>
      <c r="CS131" s="298"/>
      <c r="CT131" s="298"/>
      <c r="CU131" s="298"/>
      <c r="CV131" s="298"/>
      <c r="CW131" s="298"/>
      <c r="CX131" s="298"/>
      <c r="CY131" s="298"/>
      <c r="CZ131" s="298"/>
      <c r="DA131" s="298"/>
      <c r="DB131" s="298"/>
      <c r="DC131" s="298"/>
      <c r="DD131" s="298"/>
      <c r="DE131" s="298"/>
      <c r="DF131" s="298"/>
      <c r="DG131" s="298"/>
      <c r="DH131" s="298"/>
      <c r="DI131" s="298"/>
      <c r="DJ131" s="298"/>
      <c r="DK131" s="298"/>
      <c r="DL131" s="298"/>
      <c r="DM131" s="298"/>
      <c r="DN131" s="298"/>
      <c r="DO131" s="298"/>
      <c r="DP131" s="298"/>
      <c r="DQ131" s="298"/>
      <c r="DR131" s="298"/>
      <c r="DS131" s="298"/>
      <c r="DT131" s="298"/>
      <c r="DU131" s="298"/>
      <c r="DV131" s="298"/>
      <c r="DW131" s="298"/>
      <c r="DX131" s="298"/>
      <c r="DY131" s="298"/>
      <c r="DZ131" s="298"/>
      <c r="EA131" s="8"/>
      <c r="EB131" s="298"/>
      <c r="EC131" s="298"/>
      <c r="ED131" s="298"/>
      <c r="EE131" s="298"/>
      <c r="EF131" s="8"/>
      <c r="EG131" s="298"/>
      <c r="EH131" s="298"/>
      <c r="EI131" s="298"/>
      <c r="EJ131" s="298"/>
      <c r="EK131" s="8"/>
      <c r="EL131" s="298"/>
      <c r="EM131" s="298"/>
      <c r="EN131" s="298"/>
      <c r="EO131" s="298"/>
      <c r="EP131" s="8"/>
      <c r="EQ131" s="298"/>
      <c r="ER131" s="298"/>
      <c r="ES131" s="298"/>
      <c r="ET131" s="298"/>
      <c r="EU131" s="8"/>
      <c r="EV131" s="154"/>
      <c r="EW131" s="154"/>
      <c r="EX131" s="154"/>
      <c r="EY131" s="154"/>
      <c r="EZ131" s="8"/>
      <c r="FA131" s="8"/>
    </row>
    <row r="132" spans="1:157" ht="17.399999999999999">
      <c r="A132" s="162"/>
      <c r="B132" s="307">
        <f t="array" ref="B132">IF(TRIM(A132)="",0,
   IFERROR(
      IF(INDEX($99:$99,1,MATCH(TRIM(A132),TRIM($1:$1),0))="",
         0,
         INDEX($99:$99,1,MATCH(TRIM(A132),TRIM($1:$1),0))
      ),
   0)
)</f>
        <v>0</v>
      </c>
      <c r="C132" s="301"/>
      <c r="D132" s="301"/>
      <c r="E132" s="162" t="str">
        <f t="shared" si="360"/>
        <v>0</v>
      </c>
      <c r="F132" s="299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57"/>
      <c r="AD132" s="157"/>
      <c r="AE132" s="157"/>
      <c r="AF132" s="157"/>
      <c r="AG132" s="157"/>
      <c r="AH132" s="157"/>
      <c r="AI132" s="157"/>
      <c r="AJ132" s="157"/>
      <c r="AK132" s="159"/>
      <c r="AL132" s="159"/>
      <c r="AM132" s="159"/>
      <c r="AN132" s="143"/>
      <c r="AO132" s="143"/>
      <c r="AP132" s="143"/>
      <c r="AQ132" s="143"/>
      <c r="AR132" s="143"/>
      <c r="AS132" s="159"/>
      <c r="AT132" s="159"/>
      <c r="AU132" s="159"/>
      <c r="AV132" s="159"/>
      <c r="AW132" s="159"/>
      <c r="AX132" s="159"/>
      <c r="AY132" s="159"/>
      <c r="AZ132" s="159"/>
      <c r="BA132" s="143"/>
      <c r="BB132" s="154"/>
      <c r="BC132" s="159"/>
      <c r="BD132" s="159"/>
      <c r="BE132" s="159"/>
      <c r="BF132" s="159"/>
      <c r="BG132" s="159"/>
      <c r="BH132" s="159"/>
      <c r="BI132" s="159"/>
      <c r="BJ132" s="154"/>
      <c r="BK132" s="154"/>
      <c r="BL132" s="154"/>
      <c r="BM132" s="154"/>
      <c r="BN132" s="154"/>
      <c r="BO132" s="154"/>
      <c r="BP132" s="154"/>
      <c r="BQ132" s="154"/>
      <c r="BR132" s="154"/>
      <c r="BS132" s="154"/>
      <c r="BT132" s="154"/>
      <c r="BU132" s="154"/>
      <c r="BV132" s="154"/>
      <c r="BW132" s="154"/>
      <c r="BX132" s="8"/>
      <c r="BY132" s="298"/>
      <c r="BZ132" s="298"/>
      <c r="CA132" s="298"/>
      <c r="CB132" s="298"/>
      <c r="CC132" s="298"/>
      <c r="CD132" s="298"/>
      <c r="CE132" s="298"/>
      <c r="CF132" s="298"/>
      <c r="CG132" s="298"/>
      <c r="CH132" s="298"/>
      <c r="CI132" s="298"/>
      <c r="CJ132" s="298"/>
      <c r="CK132" s="298"/>
      <c r="CL132" s="298"/>
      <c r="CM132" s="298"/>
      <c r="CN132" s="298"/>
      <c r="CO132" s="298"/>
      <c r="CP132" s="298"/>
      <c r="CQ132" s="298"/>
      <c r="CR132" s="298"/>
      <c r="CS132" s="298"/>
      <c r="CT132" s="298"/>
      <c r="CU132" s="298"/>
      <c r="CV132" s="298"/>
      <c r="CW132" s="298"/>
      <c r="CX132" s="298"/>
      <c r="CY132" s="298"/>
      <c r="CZ132" s="298"/>
      <c r="DA132" s="298"/>
      <c r="DB132" s="298"/>
      <c r="DC132" s="298"/>
      <c r="DD132" s="298"/>
      <c r="DE132" s="298"/>
      <c r="DF132" s="298"/>
      <c r="DG132" s="298"/>
      <c r="DH132" s="298"/>
      <c r="DI132" s="298"/>
      <c r="DJ132" s="298"/>
      <c r="DK132" s="298"/>
      <c r="DL132" s="298"/>
      <c r="DM132" s="298"/>
      <c r="DN132" s="298"/>
      <c r="DO132" s="298"/>
      <c r="DP132" s="298"/>
      <c r="DQ132" s="298"/>
      <c r="DR132" s="298"/>
      <c r="DS132" s="298"/>
      <c r="DT132" s="298"/>
      <c r="DU132" s="298"/>
      <c r="DV132" s="298"/>
      <c r="DW132" s="298"/>
      <c r="DX132" s="298"/>
      <c r="DY132" s="298"/>
      <c r="DZ132" s="298"/>
      <c r="EA132" s="8"/>
      <c r="EB132" s="298"/>
      <c r="EC132" s="298"/>
      <c r="ED132" s="298"/>
      <c r="EE132" s="298"/>
      <c r="EF132" s="8"/>
      <c r="EG132" s="298"/>
      <c r="EH132" s="298"/>
      <c r="EI132" s="298"/>
      <c r="EJ132" s="298"/>
      <c r="EK132" s="8"/>
      <c r="EL132" s="298"/>
      <c r="EM132" s="298"/>
      <c r="EN132" s="298"/>
      <c r="EO132" s="298"/>
      <c r="EP132" s="8"/>
      <c r="EQ132" s="298"/>
      <c r="ER132" s="298"/>
      <c r="ES132" s="298"/>
      <c r="ET132" s="298"/>
      <c r="EU132" s="8"/>
      <c r="EV132" s="154"/>
      <c r="EW132" s="154"/>
      <c r="EX132" s="154"/>
      <c r="EY132" s="154"/>
      <c r="EZ132" s="8"/>
      <c r="FA132" s="8"/>
    </row>
  </sheetData>
  <mergeCells count="627">
    <mergeCell ref="A1:E1"/>
    <mergeCell ref="L1:N1"/>
    <mergeCell ref="V1:X1"/>
    <mergeCell ref="AF1:AH1"/>
    <mergeCell ref="A2:E2"/>
    <mergeCell ref="L2:N2"/>
    <mergeCell ref="V2:X2"/>
    <mergeCell ref="L9:N9"/>
    <mergeCell ref="V9:X9"/>
    <mergeCell ref="A10:E10"/>
    <mergeCell ref="V10:X10"/>
    <mergeCell ref="AF10:AH10"/>
    <mergeCell ref="AA17:AC17"/>
    <mergeCell ref="AA18:AC18"/>
    <mergeCell ref="L10:N10"/>
    <mergeCell ref="L17:N17"/>
    <mergeCell ref="V17:X17"/>
    <mergeCell ref="AF17:AH17"/>
    <mergeCell ref="A18:E18"/>
    <mergeCell ref="L18:N18"/>
    <mergeCell ref="V18:X18"/>
    <mergeCell ref="AF18:AH18"/>
    <mergeCell ref="CD18:CF18"/>
    <mergeCell ref="CI18:CK18"/>
    <mergeCell ref="CN18:CP18"/>
    <mergeCell ref="CS18:CU18"/>
    <mergeCell ref="CX18:CZ18"/>
    <mergeCell ref="DC18:DE18"/>
    <mergeCell ref="DH18:DJ18"/>
    <mergeCell ref="AA1:AC1"/>
    <mergeCell ref="AA2:AC2"/>
    <mergeCell ref="EB18:ED18"/>
    <mergeCell ref="DC17:DE17"/>
    <mergeCell ref="DH17:DJ17"/>
    <mergeCell ref="DM17:DO17"/>
    <mergeCell ref="DR17:DT17"/>
    <mergeCell ref="DW17:DY17"/>
    <mergeCell ref="EG17:EI17"/>
    <mergeCell ref="DW18:DY18"/>
    <mergeCell ref="DM18:DO18"/>
    <mergeCell ref="DR18:DT18"/>
    <mergeCell ref="BT17:BV17"/>
    <mergeCell ref="BY17:CA17"/>
    <mergeCell ref="CD17:CF17"/>
    <mergeCell ref="CI17:CK17"/>
    <mergeCell ref="CN17:CP17"/>
    <mergeCell ref="CS17:CU17"/>
    <mergeCell ref="CX17:CZ17"/>
    <mergeCell ref="EL17:EN17"/>
    <mergeCell ref="EQ17:ES17"/>
    <mergeCell ref="EB17:ED17"/>
    <mergeCell ref="EV17:EX17"/>
    <mergeCell ref="G17:I17"/>
    <mergeCell ref="G18:I18"/>
    <mergeCell ref="Q17:S17"/>
    <mergeCell ref="Q18:S18"/>
    <mergeCell ref="AP17:AR17"/>
    <mergeCell ref="AP18:AR18"/>
    <mergeCell ref="BE18:BG18"/>
    <mergeCell ref="BJ18:BL18"/>
    <mergeCell ref="BO18:BQ18"/>
    <mergeCell ref="BT18:BV18"/>
    <mergeCell ref="BY18:CA18"/>
    <mergeCell ref="EG18:EI18"/>
    <mergeCell ref="EL18:EN18"/>
    <mergeCell ref="EQ18:ES18"/>
    <mergeCell ref="EV18:EX18"/>
    <mergeCell ref="AK17:AM17"/>
    <mergeCell ref="AU17:AW17"/>
    <mergeCell ref="BE17:BG17"/>
    <mergeCell ref="BJ17:BL17"/>
    <mergeCell ref="BO17:BQ17"/>
    <mergeCell ref="AK18:AM18"/>
    <mergeCell ref="AU18:AW18"/>
    <mergeCell ref="AZ17:BB17"/>
    <mergeCell ref="CS25:CU25"/>
    <mergeCell ref="CS26:CU26"/>
    <mergeCell ref="DC25:DE25"/>
    <mergeCell ref="DC26:DE26"/>
    <mergeCell ref="CD25:CF25"/>
    <mergeCell ref="CN25:CP25"/>
    <mergeCell ref="CX25:CZ25"/>
    <mergeCell ref="DH25:DJ25"/>
    <mergeCell ref="CD26:CF26"/>
    <mergeCell ref="CN26:CP26"/>
    <mergeCell ref="CX26:CZ26"/>
    <mergeCell ref="DH26:DJ26"/>
    <mergeCell ref="CI25:CK25"/>
    <mergeCell ref="CI26:CK26"/>
    <mergeCell ref="DR25:DT25"/>
    <mergeCell ref="DW25:DY25"/>
    <mergeCell ref="EB25:ED25"/>
    <mergeCell ref="EG25:EI25"/>
    <mergeCell ref="EL25:EN25"/>
    <mergeCell ref="EQ25:ES25"/>
    <mergeCell ref="EV25:EX25"/>
    <mergeCell ref="DM25:DO25"/>
    <mergeCell ref="DM26:DO26"/>
    <mergeCell ref="DR26:DT26"/>
    <mergeCell ref="DW26:DY26"/>
    <mergeCell ref="EB26:ED26"/>
    <mergeCell ref="EG26:EI26"/>
    <mergeCell ref="EL26:EN26"/>
    <mergeCell ref="EQ26:ES26"/>
    <mergeCell ref="EV26:EX26"/>
    <mergeCell ref="AZ18:BB18"/>
    <mergeCell ref="G25:I25"/>
    <mergeCell ref="L25:N25"/>
    <mergeCell ref="Q25:S25"/>
    <mergeCell ref="V25:X25"/>
    <mergeCell ref="AA25:AC25"/>
    <mergeCell ref="AZ25:BB25"/>
    <mergeCell ref="AP25:AR25"/>
    <mergeCell ref="AU25:AW25"/>
    <mergeCell ref="BE25:BG25"/>
    <mergeCell ref="BJ25:BL25"/>
    <mergeCell ref="BO25:BQ25"/>
    <mergeCell ref="BT25:BV25"/>
    <mergeCell ref="BY25:CA25"/>
    <mergeCell ref="AF25:AH25"/>
    <mergeCell ref="AF26:AH26"/>
    <mergeCell ref="AK25:AM25"/>
    <mergeCell ref="A26:E26"/>
    <mergeCell ref="G26:I26"/>
    <mergeCell ref="L26:N26"/>
    <mergeCell ref="Q26:S26"/>
    <mergeCell ref="V26:X26"/>
    <mergeCell ref="AA26:AC26"/>
    <mergeCell ref="BT26:BV26"/>
    <mergeCell ref="BY26:CA26"/>
    <mergeCell ref="AK26:AM26"/>
    <mergeCell ref="AP26:AR26"/>
    <mergeCell ref="AU26:AW26"/>
    <mergeCell ref="AZ26:BB26"/>
    <mergeCell ref="BE26:BG26"/>
    <mergeCell ref="BJ26:BL26"/>
    <mergeCell ref="BO26:BQ26"/>
    <mergeCell ref="DR2:DT2"/>
    <mergeCell ref="EB2:ED2"/>
    <mergeCell ref="CX2:CZ2"/>
    <mergeCell ref="DC2:DE2"/>
    <mergeCell ref="BO2:BQ2"/>
    <mergeCell ref="BT2:BV2"/>
    <mergeCell ref="BY2:CA2"/>
    <mergeCell ref="CD2:CF2"/>
    <mergeCell ref="CI2:CK2"/>
    <mergeCell ref="CN2:CP2"/>
    <mergeCell ref="CS2:CU2"/>
    <mergeCell ref="EL1:EN1"/>
    <mergeCell ref="EQ1:ES1"/>
    <mergeCell ref="EV1:EX1"/>
    <mergeCell ref="EL2:EN2"/>
    <mergeCell ref="EQ2:ES2"/>
    <mergeCell ref="EV2:EX2"/>
    <mergeCell ref="AK1:AM1"/>
    <mergeCell ref="AP1:AR1"/>
    <mergeCell ref="AU1:AW1"/>
    <mergeCell ref="AZ1:BB1"/>
    <mergeCell ref="BE1:BG1"/>
    <mergeCell ref="BJ1:BL1"/>
    <mergeCell ref="BO1:BQ1"/>
    <mergeCell ref="BT1:BV1"/>
    <mergeCell ref="BY1:CA1"/>
    <mergeCell ref="DW1:DY1"/>
    <mergeCell ref="DW2:DY2"/>
    <mergeCell ref="EG1:EI1"/>
    <mergeCell ref="EG2:EI2"/>
    <mergeCell ref="DC1:DE1"/>
    <mergeCell ref="DH1:DJ1"/>
    <mergeCell ref="DR1:DT1"/>
    <mergeCell ref="EB1:ED1"/>
    <mergeCell ref="DH2:DJ2"/>
    <mergeCell ref="G1:I1"/>
    <mergeCell ref="G2:I2"/>
    <mergeCell ref="Q1:S1"/>
    <mergeCell ref="Q2:S2"/>
    <mergeCell ref="AF2:AH2"/>
    <mergeCell ref="AK2:AM2"/>
    <mergeCell ref="AP2:AR2"/>
    <mergeCell ref="AU2:AW2"/>
    <mergeCell ref="AZ2:BB2"/>
    <mergeCell ref="BE2:BG2"/>
    <mergeCell ref="BJ2:BL2"/>
    <mergeCell ref="DM1:DO1"/>
    <mergeCell ref="DM2:DO2"/>
    <mergeCell ref="CS10:CU10"/>
    <mergeCell ref="CX10:CZ10"/>
    <mergeCell ref="BJ10:BL10"/>
    <mergeCell ref="BO10:BQ10"/>
    <mergeCell ref="BT10:BV10"/>
    <mergeCell ref="BY10:CA10"/>
    <mergeCell ref="CD10:CF10"/>
    <mergeCell ref="CI10:CK10"/>
    <mergeCell ref="CN10:CP10"/>
    <mergeCell ref="BY9:CA9"/>
    <mergeCell ref="CD9:CF9"/>
    <mergeCell ref="CI9:CK9"/>
    <mergeCell ref="CN9:CP9"/>
    <mergeCell ref="CS9:CU9"/>
    <mergeCell ref="CD1:CF1"/>
    <mergeCell ref="CI1:CK1"/>
    <mergeCell ref="CN1:CP1"/>
    <mergeCell ref="CS1:CU1"/>
    <mergeCell ref="CX1:CZ1"/>
    <mergeCell ref="AU9:AW9"/>
    <mergeCell ref="AZ9:BB9"/>
    <mergeCell ref="BE9:BG9"/>
    <mergeCell ref="BJ9:BL9"/>
    <mergeCell ref="BO9:BQ9"/>
    <mergeCell ref="BT9:BV9"/>
    <mergeCell ref="DR9:DT9"/>
    <mergeCell ref="DR10:DT10"/>
    <mergeCell ref="EB9:ED9"/>
    <mergeCell ref="EB10:ED10"/>
    <mergeCell ref="CX9:CZ9"/>
    <mergeCell ref="DC9:DE9"/>
    <mergeCell ref="DM9:DO9"/>
    <mergeCell ref="DW9:DY9"/>
    <mergeCell ref="DC10:DE10"/>
    <mergeCell ref="DM10:DO10"/>
    <mergeCell ref="DW10:DY10"/>
    <mergeCell ref="EG9:EI9"/>
    <mergeCell ref="EL9:EN9"/>
    <mergeCell ref="EQ9:ES9"/>
    <mergeCell ref="EV9:EX9"/>
    <mergeCell ref="EG10:EI10"/>
    <mergeCell ref="EL10:EN10"/>
    <mergeCell ref="EQ10:ES10"/>
    <mergeCell ref="EV10:EX10"/>
    <mergeCell ref="G9:I9"/>
    <mergeCell ref="G10:I10"/>
    <mergeCell ref="Q9:S9"/>
    <mergeCell ref="Q10:S10"/>
    <mergeCell ref="AA9:AC9"/>
    <mergeCell ref="AA10:AC10"/>
    <mergeCell ref="AK10:AM10"/>
    <mergeCell ref="AP10:AR10"/>
    <mergeCell ref="AU10:AW10"/>
    <mergeCell ref="AZ10:BB10"/>
    <mergeCell ref="BE10:BG10"/>
    <mergeCell ref="DH9:DJ9"/>
    <mergeCell ref="DH10:DJ10"/>
    <mergeCell ref="AF9:AH9"/>
    <mergeCell ref="AK9:AM9"/>
    <mergeCell ref="AP9:AR9"/>
    <mergeCell ref="CD65:CF65"/>
    <mergeCell ref="CI65:CK65"/>
    <mergeCell ref="CN65:CP65"/>
    <mergeCell ref="A34:E34"/>
    <mergeCell ref="L34:N34"/>
    <mergeCell ref="V34:X34"/>
    <mergeCell ref="AF34:AH34"/>
    <mergeCell ref="DC73:DE73"/>
    <mergeCell ref="DH73:DJ73"/>
    <mergeCell ref="BT73:BV73"/>
    <mergeCell ref="BY73:CA73"/>
    <mergeCell ref="CD73:CF73"/>
    <mergeCell ref="CI73:CK73"/>
    <mergeCell ref="CN73:CP73"/>
    <mergeCell ref="CS73:CU73"/>
    <mergeCell ref="CX73:CZ73"/>
    <mergeCell ref="CX57:CZ57"/>
    <mergeCell ref="DC57:DE57"/>
    <mergeCell ref="BO57:BQ57"/>
    <mergeCell ref="BT57:BV57"/>
    <mergeCell ref="BY57:CA57"/>
    <mergeCell ref="CD57:CF57"/>
    <mergeCell ref="CI57:CK57"/>
    <mergeCell ref="CN57:CP57"/>
    <mergeCell ref="CS65:CU65"/>
    <mergeCell ref="CX65:CZ65"/>
    <mergeCell ref="DC65:DE65"/>
    <mergeCell ref="EQ65:ES65"/>
    <mergeCell ref="EV65:EX65"/>
    <mergeCell ref="DH65:DJ65"/>
    <mergeCell ref="DM65:DO65"/>
    <mergeCell ref="DR65:DT65"/>
    <mergeCell ref="DW65:DY65"/>
    <mergeCell ref="EB65:ED65"/>
    <mergeCell ref="EG65:EI65"/>
    <mergeCell ref="EL65:EN65"/>
    <mergeCell ref="DM73:DO73"/>
    <mergeCell ref="DR73:DT73"/>
    <mergeCell ref="DW73:DY73"/>
    <mergeCell ref="EB73:ED73"/>
    <mergeCell ref="EG73:EI73"/>
    <mergeCell ref="EL73:EN73"/>
    <mergeCell ref="EQ73:ES73"/>
    <mergeCell ref="EV73:EX73"/>
    <mergeCell ref="AK73:AM73"/>
    <mergeCell ref="AP73:AR73"/>
    <mergeCell ref="AU73:AW73"/>
    <mergeCell ref="AZ73:BB73"/>
    <mergeCell ref="BE73:BG73"/>
    <mergeCell ref="BJ73:BL73"/>
    <mergeCell ref="BO73:BQ73"/>
    <mergeCell ref="A82:E82"/>
    <mergeCell ref="G81:I81"/>
    <mergeCell ref="G89:I89"/>
    <mergeCell ref="L89:N89"/>
    <mergeCell ref="Q89:S89"/>
    <mergeCell ref="V89:X89"/>
    <mergeCell ref="AA89:AC89"/>
    <mergeCell ref="AF89:AH89"/>
    <mergeCell ref="A74:E74"/>
    <mergeCell ref="A66:E66"/>
    <mergeCell ref="G65:I65"/>
    <mergeCell ref="L73:N73"/>
    <mergeCell ref="Q73:S73"/>
    <mergeCell ref="V73:X73"/>
    <mergeCell ref="AA73:AC73"/>
    <mergeCell ref="AF73:AH73"/>
    <mergeCell ref="G73:I73"/>
    <mergeCell ref="L81:N81"/>
    <mergeCell ref="Q81:S81"/>
    <mergeCell ref="V81:X81"/>
    <mergeCell ref="AA81:AC81"/>
    <mergeCell ref="AF81:AH81"/>
    <mergeCell ref="BO81:BQ81"/>
    <mergeCell ref="BT81:BV81"/>
    <mergeCell ref="BY81:CA81"/>
    <mergeCell ref="L65:N65"/>
    <mergeCell ref="Q65:S65"/>
    <mergeCell ref="V65:X65"/>
    <mergeCell ref="AA65:AC65"/>
    <mergeCell ref="AF65:AH65"/>
    <mergeCell ref="AK65:AM65"/>
    <mergeCell ref="AZ65:BB65"/>
    <mergeCell ref="BE65:BG65"/>
    <mergeCell ref="BJ65:BL65"/>
    <mergeCell ref="BO65:BQ65"/>
    <mergeCell ref="BT65:BV65"/>
    <mergeCell ref="BY65:CA65"/>
    <mergeCell ref="AP65:AR65"/>
    <mergeCell ref="AU65:AW65"/>
    <mergeCell ref="CD81:CF81"/>
    <mergeCell ref="CI81:CK81"/>
    <mergeCell ref="CN81:CP81"/>
    <mergeCell ref="CS81:CU81"/>
    <mergeCell ref="CX81:CZ81"/>
    <mergeCell ref="EL81:EN81"/>
    <mergeCell ref="EQ81:ES81"/>
    <mergeCell ref="EV81:EX81"/>
    <mergeCell ref="DC81:DE81"/>
    <mergeCell ref="DH81:DJ81"/>
    <mergeCell ref="DM81:DO81"/>
    <mergeCell ref="DR81:DT81"/>
    <mergeCell ref="DW81:DY81"/>
    <mergeCell ref="EB81:ED81"/>
    <mergeCell ref="EG81:EI81"/>
    <mergeCell ref="EQ89:ES89"/>
    <mergeCell ref="EV89:EX89"/>
    <mergeCell ref="AK89:AM89"/>
    <mergeCell ref="AP89:AR89"/>
    <mergeCell ref="AU89:AW89"/>
    <mergeCell ref="AZ89:BB89"/>
    <mergeCell ref="BE89:BG89"/>
    <mergeCell ref="BJ89:BL89"/>
    <mergeCell ref="BO89:BQ89"/>
    <mergeCell ref="DC89:DE89"/>
    <mergeCell ref="DH89:DJ89"/>
    <mergeCell ref="BT89:BV89"/>
    <mergeCell ref="BY89:CA89"/>
    <mergeCell ref="CD89:CF89"/>
    <mergeCell ref="CI89:CK89"/>
    <mergeCell ref="CN89:CP89"/>
    <mergeCell ref="CS89:CU89"/>
    <mergeCell ref="CX89:CZ89"/>
    <mergeCell ref="BO97:BQ97"/>
    <mergeCell ref="BT97:BV97"/>
    <mergeCell ref="BY97:CA97"/>
    <mergeCell ref="DM89:DO89"/>
    <mergeCell ref="DR89:DT89"/>
    <mergeCell ref="DW89:DY89"/>
    <mergeCell ref="EB89:ED89"/>
    <mergeCell ref="EG89:EI89"/>
    <mergeCell ref="EL89:EN89"/>
    <mergeCell ref="CN97:CP97"/>
    <mergeCell ref="CS97:CU97"/>
    <mergeCell ref="CX97:CZ97"/>
    <mergeCell ref="EL97:EN97"/>
    <mergeCell ref="EQ97:ES97"/>
    <mergeCell ref="EV97:EX97"/>
    <mergeCell ref="DC97:DE97"/>
    <mergeCell ref="DH97:DJ97"/>
    <mergeCell ref="DM97:DO97"/>
    <mergeCell ref="DR97:DT97"/>
    <mergeCell ref="DW97:DY97"/>
    <mergeCell ref="EB97:ED97"/>
    <mergeCell ref="EG97:EI97"/>
    <mergeCell ref="BO99:BQ99"/>
    <mergeCell ref="BT99:BV99"/>
    <mergeCell ref="BY99:CA99"/>
    <mergeCell ref="CD99:CF99"/>
    <mergeCell ref="CI99:CK99"/>
    <mergeCell ref="A90:E90"/>
    <mergeCell ref="G97:I97"/>
    <mergeCell ref="L97:N97"/>
    <mergeCell ref="Q97:S97"/>
    <mergeCell ref="V97:X97"/>
    <mergeCell ref="AA97:AC97"/>
    <mergeCell ref="AF97:AH97"/>
    <mergeCell ref="AK99:AM99"/>
    <mergeCell ref="AP99:AR99"/>
    <mergeCell ref="A99:E99"/>
    <mergeCell ref="G99:I99"/>
    <mergeCell ref="L99:N99"/>
    <mergeCell ref="Q99:S99"/>
    <mergeCell ref="V99:X99"/>
    <mergeCell ref="AA99:AC99"/>
    <mergeCell ref="AF99:AH99"/>
    <mergeCell ref="CD97:CF97"/>
    <mergeCell ref="CI97:CK97"/>
    <mergeCell ref="AK97:AM97"/>
    <mergeCell ref="CN99:CP99"/>
    <mergeCell ref="CS99:CU99"/>
    <mergeCell ref="CX99:CZ99"/>
    <mergeCell ref="EL99:EN99"/>
    <mergeCell ref="EQ99:ES99"/>
    <mergeCell ref="EV99:EX99"/>
    <mergeCell ref="DC99:DE99"/>
    <mergeCell ref="DH99:DJ99"/>
    <mergeCell ref="DM99:DO99"/>
    <mergeCell ref="DR99:DT99"/>
    <mergeCell ref="DW99:DY99"/>
    <mergeCell ref="EB99:ED99"/>
    <mergeCell ref="EG99:EI99"/>
    <mergeCell ref="G104:S104"/>
    <mergeCell ref="T104:U104"/>
    <mergeCell ref="G105:S105"/>
    <mergeCell ref="T105:U105"/>
    <mergeCell ref="G106:S106"/>
    <mergeCell ref="T106:U106"/>
    <mergeCell ref="A101:E101"/>
    <mergeCell ref="G101:U101"/>
    <mergeCell ref="B102:D102"/>
    <mergeCell ref="G102:S102"/>
    <mergeCell ref="T102:U102"/>
    <mergeCell ref="G103:S103"/>
    <mergeCell ref="T103:U103"/>
    <mergeCell ref="B104:D104"/>
    <mergeCell ref="B105:D105"/>
    <mergeCell ref="B106:D106"/>
    <mergeCell ref="CN33:CP33"/>
    <mergeCell ref="CN34:CP34"/>
    <mergeCell ref="CX33:CZ33"/>
    <mergeCell ref="CX34:CZ34"/>
    <mergeCell ref="BY33:CA33"/>
    <mergeCell ref="CI33:CK33"/>
    <mergeCell ref="CS33:CU33"/>
    <mergeCell ref="DC33:DE33"/>
    <mergeCell ref="BY34:CA34"/>
    <mergeCell ref="CI34:CK34"/>
    <mergeCell ref="CS34:CU34"/>
    <mergeCell ref="DC34:DE34"/>
    <mergeCell ref="EG33:EI33"/>
    <mergeCell ref="EG34:EI34"/>
    <mergeCell ref="DH33:DJ33"/>
    <mergeCell ref="DR33:DT33"/>
    <mergeCell ref="EB33:ED33"/>
    <mergeCell ref="EL33:EN33"/>
    <mergeCell ref="DH34:DJ34"/>
    <mergeCell ref="DR34:DT34"/>
    <mergeCell ref="EB34:ED34"/>
    <mergeCell ref="EL34:EN34"/>
    <mergeCell ref="EQ33:ES33"/>
    <mergeCell ref="EV33:EX33"/>
    <mergeCell ref="EQ34:ES34"/>
    <mergeCell ref="EV34:EX34"/>
    <mergeCell ref="G33:I33"/>
    <mergeCell ref="G34:I34"/>
    <mergeCell ref="AU33:AW33"/>
    <mergeCell ref="AU34:AW34"/>
    <mergeCell ref="CD33:CF33"/>
    <mergeCell ref="CD34:CF34"/>
    <mergeCell ref="DM33:DO33"/>
    <mergeCell ref="DM34:DO34"/>
    <mergeCell ref="BO33:BQ33"/>
    <mergeCell ref="BO34:BQ34"/>
    <mergeCell ref="AP33:AR33"/>
    <mergeCell ref="AZ33:BB33"/>
    <mergeCell ref="BJ33:BL33"/>
    <mergeCell ref="BT33:BV33"/>
    <mergeCell ref="AP34:AR34"/>
    <mergeCell ref="AZ34:BB34"/>
    <mergeCell ref="BJ34:BL34"/>
    <mergeCell ref="BT34:BV34"/>
    <mergeCell ref="DW33:DY33"/>
    <mergeCell ref="DW34:DY34"/>
    <mergeCell ref="AP41:AR41"/>
    <mergeCell ref="AU41:AW41"/>
    <mergeCell ref="BE33:BG33"/>
    <mergeCell ref="BE34:BG34"/>
    <mergeCell ref="G41:I41"/>
    <mergeCell ref="L41:N41"/>
    <mergeCell ref="Q41:S41"/>
    <mergeCell ref="V41:X41"/>
    <mergeCell ref="AA41:AC41"/>
    <mergeCell ref="AZ41:BB41"/>
    <mergeCell ref="BE41:BG41"/>
    <mergeCell ref="AF41:AH41"/>
    <mergeCell ref="AK41:AM41"/>
    <mergeCell ref="Q33:S33"/>
    <mergeCell ref="Q34:S34"/>
    <mergeCell ref="AA33:AC33"/>
    <mergeCell ref="AA34:AC34"/>
    <mergeCell ref="AK33:AM33"/>
    <mergeCell ref="AK34:AM34"/>
    <mergeCell ref="L33:N33"/>
    <mergeCell ref="V33:X33"/>
    <mergeCell ref="AF33:AH33"/>
    <mergeCell ref="BJ41:BL41"/>
    <mergeCell ref="BO41:BQ41"/>
    <mergeCell ref="BT41:BV41"/>
    <mergeCell ref="BY41:CA41"/>
    <mergeCell ref="CD41:CF41"/>
    <mergeCell ref="DR41:DT41"/>
    <mergeCell ref="DW41:DY41"/>
    <mergeCell ref="EB41:ED41"/>
    <mergeCell ref="EG41:EI41"/>
    <mergeCell ref="EL41:EN41"/>
    <mergeCell ref="EQ41:ES41"/>
    <mergeCell ref="EV41:EX41"/>
    <mergeCell ref="CI41:CK41"/>
    <mergeCell ref="CN41:CP41"/>
    <mergeCell ref="CS41:CU41"/>
    <mergeCell ref="CX41:CZ41"/>
    <mergeCell ref="DC41:DE41"/>
    <mergeCell ref="DH41:DJ41"/>
    <mergeCell ref="DM41:DO41"/>
    <mergeCell ref="AP49:AR49"/>
    <mergeCell ref="AU49:AW49"/>
    <mergeCell ref="AZ49:BB49"/>
    <mergeCell ref="BE49:BG49"/>
    <mergeCell ref="BJ49:BL49"/>
    <mergeCell ref="BO49:BQ49"/>
    <mergeCell ref="BT49:BV49"/>
    <mergeCell ref="EQ57:ES57"/>
    <mergeCell ref="EV57:EX57"/>
    <mergeCell ref="DH57:DJ57"/>
    <mergeCell ref="DM57:DO57"/>
    <mergeCell ref="DR57:DT57"/>
    <mergeCell ref="DW57:DY57"/>
    <mergeCell ref="EB57:ED57"/>
    <mergeCell ref="EG57:EI57"/>
    <mergeCell ref="EL57:EN57"/>
    <mergeCell ref="CS57:CU57"/>
    <mergeCell ref="BY49:CA49"/>
    <mergeCell ref="CD49:CF49"/>
    <mergeCell ref="CI49:CK49"/>
    <mergeCell ref="CN49:CP49"/>
    <mergeCell ref="CS49:CU49"/>
    <mergeCell ref="EG49:EI49"/>
    <mergeCell ref="EL49:EN49"/>
    <mergeCell ref="EQ49:ES49"/>
    <mergeCell ref="EV49:EX49"/>
    <mergeCell ref="CX49:CZ49"/>
    <mergeCell ref="DC49:DE49"/>
    <mergeCell ref="DH49:DJ49"/>
    <mergeCell ref="DM49:DO49"/>
    <mergeCell ref="DR49:DT49"/>
    <mergeCell ref="DW49:DY49"/>
    <mergeCell ref="EB49:ED49"/>
    <mergeCell ref="A42:E42"/>
    <mergeCell ref="L49:N49"/>
    <mergeCell ref="Q49:S49"/>
    <mergeCell ref="V49:X49"/>
    <mergeCell ref="AK49:AM49"/>
    <mergeCell ref="G49:I49"/>
    <mergeCell ref="A50:E50"/>
    <mergeCell ref="G57:I57"/>
    <mergeCell ref="L57:N57"/>
    <mergeCell ref="Q57:S57"/>
    <mergeCell ref="V57:X57"/>
    <mergeCell ref="AA57:AC57"/>
    <mergeCell ref="AA49:AC49"/>
    <mergeCell ref="AF49:AH49"/>
    <mergeCell ref="A58:E58"/>
    <mergeCell ref="AF57:AH57"/>
    <mergeCell ref="AK57:AM57"/>
    <mergeCell ref="AP57:AR57"/>
    <mergeCell ref="AU57:AW57"/>
    <mergeCell ref="AZ57:BB57"/>
    <mergeCell ref="BE57:BG57"/>
    <mergeCell ref="BJ57:BL57"/>
    <mergeCell ref="B103:D103"/>
    <mergeCell ref="AU99:AW99"/>
    <mergeCell ref="AZ99:BB99"/>
    <mergeCell ref="BE99:BG99"/>
    <mergeCell ref="BJ99:BL99"/>
    <mergeCell ref="AP97:AR97"/>
    <mergeCell ref="AU97:AW97"/>
    <mergeCell ref="AZ97:BB97"/>
    <mergeCell ref="BE97:BG97"/>
    <mergeCell ref="BJ97:BL97"/>
    <mergeCell ref="AK81:AM81"/>
    <mergeCell ref="AP81:AR81"/>
    <mergeCell ref="AU81:AW81"/>
    <mergeCell ref="AZ81:BB81"/>
    <mergeCell ref="BE81:BG81"/>
    <mergeCell ref="BJ81:BL81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32:D132"/>
    <mergeCell ref="B124:D124"/>
    <mergeCell ref="B125:D125"/>
    <mergeCell ref="B126:D126"/>
    <mergeCell ref="B127:D127"/>
    <mergeCell ref="B128:D128"/>
    <mergeCell ref="B129:D129"/>
    <mergeCell ref="B130:D130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31:D131"/>
  </mergeCells>
  <conditionalFormatting sqref="A103:E132">
    <cfRule type="expression" dxfId="0" priority="1">
      <formula>$E103="1º"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Palpite</vt:lpstr>
      <vt:lpstr>Bolão da Copa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Luiz Fernando de Jesus Silva Homem</cp:lastModifiedBy>
  <dcterms:modified xsi:type="dcterms:W3CDTF">2026-02-26T18:37:13Z</dcterms:modified>
</cp:coreProperties>
</file>